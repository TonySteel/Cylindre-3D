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Macros VBA\MAJ (08-10-2018)\"/>
    </mc:Choice>
  </mc:AlternateContent>
  <xr:revisionPtr revIDLastSave="0" documentId="13_ncr:1_{DDA55203-833D-4BCF-9291-578A0FAD9F92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3D" sheetId="1" r:id="rId1"/>
    <sheet name="Divers" sheetId="2" state="hidden" r:id="rId2"/>
  </sheets>
  <functionGroups builtInGroupCount="19"/>
  <externalReferences>
    <externalReference r:id="rId3"/>
  </externalReferences>
  <definedNames>
    <definedName name="Coordonnées">'3D'!$F$30:$H$31</definedName>
    <definedName name="Transparence">Divers!$B$2:$B$4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4" i="1" l="1"/>
  <c r="Z24" i="1" l="1"/>
  <c r="Z22" i="1"/>
  <c r="Y7" i="1" l="1"/>
  <c r="Y8" i="1"/>
  <c r="Y9" i="1"/>
  <c r="Y32" i="1" l="1"/>
  <c r="X32" i="1"/>
  <c r="W32" i="1"/>
  <c r="V32" i="1"/>
  <c r="U32" i="1"/>
  <c r="AG32" i="1" l="1"/>
  <c r="AF32" i="1"/>
  <c r="AE32" i="1"/>
  <c r="AD32" i="1"/>
  <c r="AC32" i="1"/>
  <c r="S11" i="1"/>
  <c r="S15" i="1" l="1"/>
  <c r="S14" i="1"/>
  <c r="S13" i="1"/>
  <c r="S12" i="1"/>
  <c r="S10" i="1"/>
  <c r="S9" i="1"/>
  <c r="S8" i="1"/>
  <c r="S7" i="1"/>
  <c r="S6" i="1"/>
  <c r="Y6" i="1"/>
  <c r="AI29" i="1"/>
  <c r="W22" i="1" l="1"/>
  <c r="Y15" i="1"/>
  <c r="Y14" i="1"/>
  <c r="Y13" i="1"/>
  <c r="Y12" i="1"/>
  <c r="Y11" i="1"/>
  <c r="Y10" i="1"/>
  <c r="AI3" i="1"/>
  <c r="AG16" i="1" l="1"/>
  <c r="AF6" i="1" s="1"/>
  <c r="Z26" i="1" l="1"/>
  <c r="AH3" i="1" l="1"/>
  <c r="AG8" i="1" l="1"/>
  <c r="AF8" i="1"/>
  <c r="AG15" i="1"/>
  <c r="AG11" i="1"/>
  <c r="AG7" i="1"/>
  <c r="AF12" i="1"/>
  <c r="AG6" i="1"/>
  <c r="AG14" i="1"/>
  <c r="AG10" i="1"/>
  <c r="AF15" i="1"/>
  <c r="AF11" i="1"/>
  <c r="AF7" i="1"/>
  <c r="AF9" i="1"/>
  <c r="AG13" i="1"/>
  <c r="AG9" i="1"/>
  <c r="AF14" i="1"/>
  <c r="AF10" i="1"/>
  <c r="AG12" i="1"/>
  <c r="AF13" i="1"/>
</calcChain>
</file>

<file path=xl/sharedStrings.xml><?xml version="1.0" encoding="utf-8"?>
<sst xmlns="http://schemas.openxmlformats.org/spreadsheetml/2006/main" count="144" uniqueCount="108">
  <si>
    <t>Transparence</t>
  </si>
  <si>
    <t>Direction de luminosité</t>
  </si>
  <si>
    <t>Transparent</t>
  </si>
  <si>
    <t>Mat</t>
  </si>
  <si>
    <t>Plastique</t>
  </si>
  <si>
    <t>Metal</t>
  </si>
  <si>
    <t>Fil de fer</t>
  </si>
  <si>
    <t>Translucide</t>
  </si>
  <si>
    <t>Lumineux</t>
  </si>
  <si>
    <t>Polis</t>
  </si>
  <si>
    <t>Inversé</t>
  </si>
  <si>
    <t>Pale</t>
  </si>
  <si>
    <t>Fade</t>
  </si>
  <si>
    <t>Accentué Sombre</t>
  </si>
  <si>
    <t>Accentué Clair</t>
  </si>
  <si>
    <t>Brillant</t>
  </si>
  <si>
    <t>Couleur Gaine</t>
  </si>
  <si>
    <t>Aspect Gaine</t>
  </si>
  <si>
    <t>N°</t>
  </si>
  <si>
    <t>(mm)</t>
  </si>
  <si>
    <t>Longueur (mm)</t>
  </si>
  <si>
    <t>Diametre (mm)</t>
  </si>
  <si>
    <t>Dpe</t>
  </si>
  <si>
    <t>Dpi</t>
  </si>
  <si>
    <t>(°)</t>
  </si>
  <si>
    <t>Couleur</t>
  </si>
  <si>
    <t>R</t>
  </si>
  <si>
    <t>G</t>
  </si>
  <si>
    <t>B</t>
  </si>
  <si>
    <t>(Vrai/Faux)</t>
  </si>
  <si>
    <t>Status Ajout</t>
  </si>
  <si>
    <t>Dcote</t>
  </si>
  <si>
    <t>Statut Group</t>
  </si>
  <si>
    <r>
      <t xml:space="preserve">E </t>
    </r>
    <r>
      <rPr>
        <i/>
        <sz val="10"/>
        <color theme="1"/>
        <rFont val="Calibri"/>
        <family val="2"/>
        <scheme val="minor"/>
      </rPr>
      <t>(y)</t>
    </r>
  </si>
  <si>
    <r>
      <t xml:space="preserve">C </t>
    </r>
    <r>
      <rPr>
        <i/>
        <sz val="10"/>
        <color theme="1"/>
        <rFont val="Calibri"/>
        <family val="2"/>
        <scheme val="minor"/>
      </rPr>
      <t>(x)</t>
    </r>
  </si>
  <si>
    <r>
      <t xml:space="preserve">L </t>
    </r>
    <r>
      <rPr>
        <i/>
        <sz val="10"/>
        <color theme="1"/>
        <rFont val="Calibri"/>
        <family val="2"/>
        <scheme val="minor"/>
      </rPr>
      <t>(z)</t>
    </r>
  </si>
  <si>
    <t>Long</t>
  </si>
  <si>
    <t>Diam</t>
  </si>
  <si>
    <t>Seg A</t>
  </si>
  <si>
    <t>Seg B</t>
  </si>
  <si>
    <t>Ep.</t>
  </si>
  <si>
    <t>Nom</t>
  </si>
  <si>
    <t>(txt)</t>
  </si>
  <si>
    <t>Angle Gen.</t>
  </si>
  <si>
    <t>Coordonnées Polaire</t>
  </si>
  <si>
    <t>Pts 2</t>
  </si>
  <si>
    <t>Pts 1</t>
  </si>
  <si>
    <t>Aspect</t>
  </si>
  <si>
    <t>(n)</t>
  </si>
  <si>
    <t>Alpha (radians) = C/r</t>
  </si>
  <si>
    <t>Alpha (degrés)</t>
  </si>
  <si>
    <t>Angle Secteur A (°)</t>
  </si>
  <si>
    <t>Angle Seteur B (°)</t>
  </si>
  <si>
    <t>Epaisseur Gaine (mm)</t>
  </si>
  <si>
    <r>
      <t xml:space="preserve">Distance / Côte (mm) </t>
    </r>
    <r>
      <rPr>
        <i/>
        <sz val="9"/>
        <color theme="1"/>
        <rFont val="Calibri"/>
        <family val="2"/>
        <scheme val="minor"/>
      </rPr>
      <t xml:space="preserve"> (z)</t>
    </r>
  </si>
  <si>
    <r>
      <t>Dimension L (mm)</t>
    </r>
    <r>
      <rPr>
        <i/>
        <sz val="9"/>
        <color theme="1"/>
        <rFont val="Calibri"/>
        <family val="2"/>
        <scheme val="minor"/>
      </rPr>
      <t xml:space="preserve">  (z)</t>
    </r>
  </si>
  <si>
    <r>
      <t>Dimension C (mm)</t>
    </r>
    <r>
      <rPr>
        <i/>
        <sz val="9"/>
        <color theme="1"/>
        <rFont val="Calibri"/>
        <family val="2"/>
        <scheme val="minor"/>
      </rPr>
      <t xml:space="preserve">  (x)</t>
    </r>
  </si>
  <si>
    <r>
      <t xml:space="preserve">Dimension E (mm) </t>
    </r>
    <r>
      <rPr>
        <i/>
        <sz val="9"/>
        <color theme="1"/>
        <rFont val="Calibri"/>
        <family val="2"/>
        <scheme val="minor"/>
      </rPr>
      <t xml:space="preserve">  (y)</t>
    </r>
  </si>
  <si>
    <r>
      <t>Distance / Peau Ext. (mm)</t>
    </r>
    <r>
      <rPr>
        <i/>
        <sz val="9"/>
        <color theme="1"/>
        <rFont val="Calibri"/>
        <family val="2"/>
        <scheme val="minor"/>
      </rPr>
      <t xml:space="preserve">  (y)</t>
    </r>
  </si>
  <si>
    <r>
      <t>Distance / Peau Int. (mm)</t>
    </r>
    <r>
      <rPr>
        <i/>
        <sz val="9"/>
        <color theme="1"/>
        <rFont val="Calibri"/>
        <family val="2"/>
        <scheme val="minor"/>
      </rPr>
      <t xml:space="preserve">  (y)</t>
    </r>
  </si>
  <si>
    <r>
      <t>Angle / Génératrice (°)</t>
    </r>
    <r>
      <rPr>
        <i/>
        <sz val="9"/>
        <color theme="1"/>
        <rFont val="Calibri"/>
        <family val="2"/>
        <scheme val="minor"/>
      </rPr>
      <t xml:space="preserve">  (xr)</t>
    </r>
  </si>
  <si>
    <t>Rotation (°)</t>
  </si>
  <si>
    <t>Cote</t>
  </si>
  <si>
    <t>(m)</t>
  </si>
  <si>
    <t>Paramètres</t>
  </si>
  <si>
    <t>N° DT</t>
  </si>
  <si>
    <t>Technicien</t>
  </si>
  <si>
    <t>Intitulé</t>
  </si>
  <si>
    <t>Section</t>
  </si>
  <si>
    <t>Materiaux</t>
  </si>
  <si>
    <t>Commentaire</t>
  </si>
  <si>
    <t>Ref</t>
  </si>
  <si>
    <t>Secteurs</t>
  </si>
  <si>
    <t xml:space="preserve"> Animation</t>
  </si>
  <si>
    <t>Vitesse (Facteur multipicatif)</t>
  </si>
  <si>
    <t>Gaine</t>
  </si>
  <si>
    <t>Status LDR</t>
  </si>
  <si>
    <t>Apparence</t>
  </si>
  <si>
    <t>Luminosité</t>
  </si>
  <si>
    <t>x</t>
  </si>
  <si>
    <t>y</t>
  </si>
  <si>
    <t>z</t>
  </si>
  <si>
    <t>V</t>
  </si>
  <si>
    <t xml:space="preserve">     Inversion</t>
  </si>
  <si>
    <t>Axes</t>
  </si>
  <si>
    <t>Haut</t>
  </si>
  <si>
    <t>LDR</t>
  </si>
  <si>
    <t>Bas</t>
  </si>
  <si>
    <t>Inj</t>
  </si>
  <si>
    <t>90°</t>
  </si>
  <si>
    <t>45°</t>
  </si>
  <si>
    <t>0°</t>
  </si>
  <si>
    <t>315°</t>
  </si>
  <si>
    <t>270°</t>
  </si>
  <si>
    <t>225°</t>
  </si>
  <si>
    <t>180°</t>
  </si>
  <si>
    <t>135°</t>
  </si>
  <si>
    <t>Epaisseurs Circonférencielle</t>
  </si>
  <si>
    <t>Gen A</t>
  </si>
  <si>
    <t>Gen B</t>
  </si>
  <si>
    <t>Gen C</t>
  </si>
  <si>
    <t>Gen D</t>
  </si>
  <si>
    <t>Prélèvement LDR 2</t>
  </si>
  <si>
    <t>Prélèvement LDR 1</t>
  </si>
  <si>
    <t>Prélèvement Haut 1</t>
  </si>
  <si>
    <t>Prélèvement Haut 2</t>
  </si>
  <si>
    <t>Prélèvement Inj 1</t>
  </si>
  <si>
    <t>Prélèvement Bas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</si>
</sst>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theme="3" tint="0.79998168889431442"/>
      <name val="Calibri"/>
      <family val="2"/>
      <scheme val="minor"/>
    </font>
    <font>
      <sz val="8"/>
      <color rgb="FF000000"/>
      <name val="Tahoma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9"/>
      <color theme="2" tint="-0.499984740745262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  <font>
      <b/>
      <i/>
      <sz val="9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rgb="FF00B050"/>
      <name val="Calibri"/>
      <family val="2"/>
      <scheme val="minor"/>
    </font>
    <font>
      <i/>
      <sz val="10"/>
      <color rgb="FF0070C0"/>
      <name val="Calibri"/>
      <family val="2"/>
      <scheme val="minor"/>
    </font>
    <font>
      <b/>
      <sz val="12"/>
      <color rgb="FF222222"/>
      <name val="Arial"/>
      <family val="2"/>
    </font>
    <font>
      <i/>
      <sz val="9"/>
      <color theme="1"/>
      <name val="Calibri"/>
      <family val="2"/>
      <scheme val="minor"/>
    </font>
    <font>
      <b/>
      <i/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rgb="FF000000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2" tint="-9.8025452436902985E-2"/>
        </stop>
        <stop position="1">
          <color theme="0"/>
        </stop>
      </gradientFill>
    </fill>
    <fill>
      <gradientFill degree="180">
        <stop position="0">
          <color theme="2" tint="-9.8025452436902985E-2"/>
        </stop>
        <stop position="1">
          <color theme="0"/>
        </stop>
      </gradientFill>
    </fill>
    <fill>
      <gradientFill>
        <stop position="0">
          <color theme="0"/>
        </stop>
        <stop position="0.5">
          <color theme="7" tint="0.40000610370189521"/>
        </stop>
        <stop position="1">
          <color theme="0"/>
        </stop>
      </gradientFill>
    </fill>
    <fill>
      <patternFill patternType="solid">
        <fgColor theme="0" tint="-4.9989318521683403E-2"/>
        <bgColor indexed="64"/>
      </patternFill>
    </fill>
    <fill>
      <gradientFill>
        <stop position="0">
          <color theme="0"/>
        </stop>
        <stop position="0.5">
          <color theme="4" tint="0.40000610370189521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auto="1"/>
      </patternFill>
    </fill>
    <fill>
      <gradientFill type="path" left="0.5" right="0.5" top="0.5" bottom="0.5">
        <stop position="0">
          <color theme="0"/>
        </stop>
        <stop position="1">
          <color theme="2" tint="-9.8025452436902985E-2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8" fillId="5" borderId="27" xfId="0" applyFont="1" applyFill="1" applyBorder="1" applyAlignment="1">
      <alignment horizontal="center" vertical="center"/>
    </xf>
    <xf numFmtId="0" fontId="8" fillId="5" borderId="28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1" fillId="10" borderId="0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10" fillId="5" borderId="0" xfId="0" applyFont="1" applyFill="1" applyBorder="1" applyAlignment="1">
      <alignment vertical="center"/>
    </xf>
    <xf numFmtId="0" fontId="10" fillId="11" borderId="0" xfId="0" applyFont="1" applyFill="1" applyBorder="1" applyAlignment="1">
      <alignment vertical="center"/>
    </xf>
    <xf numFmtId="0" fontId="1" fillId="11" borderId="0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12" fillId="13" borderId="26" xfId="0" applyFont="1" applyFill="1" applyBorder="1" applyAlignment="1">
      <alignment horizontal="center" vertical="center"/>
    </xf>
    <xf numFmtId="0" fontId="12" fillId="13" borderId="27" xfId="0" applyFont="1" applyFill="1" applyBorder="1" applyAlignment="1">
      <alignment horizontal="center" vertical="center"/>
    </xf>
    <xf numFmtId="0" fontId="11" fillId="13" borderId="12" xfId="0" applyFont="1" applyFill="1" applyBorder="1" applyAlignment="1">
      <alignment horizontal="center" vertical="center"/>
    </xf>
    <xf numFmtId="0" fontId="11" fillId="13" borderId="21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5" fillId="0" borderId="31" xfId="0" applyFont="1" applyFill="1" applyBorder="1" applyAlignment="1" applyProtection="1">
      <alignment horizontal="center" vertical="center"/>
      <protection locked="0"/>
    </xf>
    <xf numFmtId="0" fontId="9" fillId="5" borderId="13" xfId="0" applyFont="1" applyFill="1" applyBorder="1" applyAlignment="1" applyProtection="1">
      <alignment horizontal="center" vertical="center"/>
      <protection locked="0"/>
    </xf>
    <xf numFmtId="0" fontId="9" fillId="5" borderId="10" xfId="0" applyFont="1" applyFill="1" applyBorder="1" applyAlignment="1" applyProtection="1">
      <alignment horizontal="center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5" fillId="0" borderId="32" xfId="0" applyFont="1" applyFill="1" applyBorder="1" applyAlignment="1" applyProtection="1">
      <alignment horizontal="center" vertical="center"/>
      <protection locked="0"/>
    </xf>
    <xf numFmtId="0" fontId="9" fillId="5" borderId="14" xfId="0" applyFont="1" applyFill="1" applyBorder="1" applyAlignment="1" applyProtection="1">
      <alignment horizontal="center" vertical="center"/>
      <protection locked="0"/>
    </xf>
    <xf numFmtId="0" fontId="9" fillId="5" borderId="2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 applyProtection="1">
      <alignment horizontal="center" vertical="center"/>
      <protection locked="0"/>
    </xf>
    <xf numFmtId="0" fontId="9" fillId="5" borderId="17" xfId="0" applyFont="1" applyFill="1" applyBorder="1" applyAlignment="1" applyProtection="1">
      <alignment horizontal="center" vertical="center"/>
      <protection locked="0"/>
    </xf>
    <xf numFmtId="0" fontId="5" fillId="5" borderId="30" xfId="0" applyFont="1" applyFill="1" applyBorder="1" applyAlignment="1" applyProtection="1">
      <alignment horizontal="center" vertical="center"/>
      <protection locked="0"/>
    </xf>
    <xf numFmtId="0" fontId="11" fillId="13" borderId="20" xfId="0" applyFont="1" applyFill="1" applyBorder="1" applyAlignment="1">
      <alignment horizontal="center" vertical="center"/>
    </xf>
    <xf numFmtId="0" fontId="11" fillId="13" borderId="35" xfId="0" applyFont="1" applyFill="1" applyBorder="1" applyAlignment="1" applyProtection="1">
      <alignment horizontal="center" vertical="center"/>
    </xf>
    <xf numFmtId="0" fontId="11" fillId="13" borderId="9" xfId="0" applyFont="1" applyFill="1" applyBorder="1" applyAlignment="1" applyProtection="1">
      <alignment horizontal="center" vertical="center"/>
    </xf>
    <xf numFmtId="0" fontId="11" fillId="13" borderId="22" xfId="0" applyFont="1" applyFill="1" applyBorder="1" applyAlignment="1" applyProtection="1">
      <alignment horizontal="center" vertical="center"/>
    </xf>
    <xf numFmtId="0" fontId="11" fillId="13" borderId="16" xfId="0" applyFont="1" applyFill="1" applyBorder="1" applyAlignment="1" applyProtection="1">
      <alignment horizontal="center" vertical="center"/>
    </xf>
    <xf numFmtId="0" fontId="11" fillId="13" borderId="1" xfId="0" applyFont="1" applyFill="1" applyBorder="1" applyAlignment="1" applyProtection="1">
      <alignment horizontal="center" vertical="center"/>
    </xf>
    <xf numFmtId="0" fontId="11" fillId="13" borderId="13" xfId="0" applyFont="1" applyFill="1" applyBorder="1" applyAlignment="1" applyProtection="1">
      <alignment horizontal="center" vertical="center"/>
    </xf>
    <xf numFmtId="0" fontId="11" fillId="13" borderId="17" xfId="0" applyFont="1" applyFill="1" applyBorder="1" applyAlignment="1" applyProtection="1">
      <alignment horizontal="center" vertical="center"/>
    </xf>
    <xf numFmtId="0" fontId="11" fillId="13" borderId="23" xfId="0" applyFont="1" applyFill="1" applyBorder="1" applyAlignment="1" applyProtection="1">
      <alignment horizontal="center" vertical="center"/>
    </xf>
    <xf numFmtId="0" fontId="11" fillId="13" borderId="15" xfId="0" applyFont="1" applyFill="1" applyBorder="1" applyAlignment="1" applyProtection="1">
      <alignment horizontal="center" vertical="center"/>
    </xf>
    <xf numFmtId="0" fontId="11" fillId="13" borderId="36" xfId="0" applyFont="1" applyFill="1" applyBorder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0" fillId="5" borderId="11" xfId="0" applyFill="1" applyBorder="1" applyAlignment="1" applyProtection="1">
      <alignment vertical="center"/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10" xfId="0" applyFill="1" applyBorder="1" applyAlignment="1" applyProtection="1">
      <alignment vertical="center"/>
      <protection locked="0"/>
    </xf>
    <xf numFmtId="0" fontId="0" fillId="5" borderId="0" xfId="0" applyFill="1" applyBorder="1" applyAlignment="1" applyProtection="1">
      <alignment horizontal="right" vertical="center"/>
      <protection locked="0"/>
    </xf>
    <xf numFmtId="0" fontId="0" fillId="5" borderId="40" xfId="0" applyFill="1" applyBorder="1" applyAlignment="1" applyProtection="1">
      <alignment horizontal="right" vertical="center"/>
      <protection locked="0"/>
    </xf>
    <xf numFmtId="0" fontId="0" fillId="5" borderId="38" xfId="0" applyFill="1" applyBorder="1" applyAlignment="1" applyProtection="1">
      <alignment horizontal="right" vertical="center"/>
      <protection locked="0"/>
    </xf>
    <xf numFmtId="0" fontId="0" fillId="5" borderId="39" xfId="0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center"/>
    </xf>
    <xf numFmtId="0" fontId="12" fillId="13" borderId="43" xfId="0" applyFont="1" applyFill="1" applyBorder="1" applyAlignment="1">
      <alignment horizontal="center" vertical="center"/>
    </xf>
    <xf numFmtId="0" fontId="11" fillId="13" borderId="44" xfId="0" applyFont="1" applyFill="1" applyBorder="1" applyAlignment="1">
      <alignment horizontal="center" vertical="center"/>
    </xf>
    <xf numFmtId="0" fontId="11" fillId="13" borderId="45" xfId="0" applyFont="1" applyFill="1" applyBorder="1" applyAlignment="1" applyProtection="1">
      <alignment horizontal="center" vertical="center"/>
    </xf>
    <xf numFmtId="0" fontId="11" fillId="13" borderId="4" xfId="0" applyFont="1" applyFill="1" applyBorder="1" applyAlignment="1" applyProtection="1">
      <alignment horizontal="center" vertical="center"/>
    </xf>
    <xf numFmtId="0" fontId="11" fillId="13" borderId="46" xfId="0" applyFont="1" applyFill="1" applyBorder="1" applyAlignment="1" applyProtection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6" fillId="13" borderId="25" xfId="0" applyFont="1" applyFill="1" applyBorder="1" applyAlignment="1">
      <alignment horizontal="center" vertical="center"/>
    </xf>
    <xf numFmtId="0" fontId="17" fillId="13" borderId="26" xfId="0" applyFont="1" applyFill="1" applyBorder="1" applyAlignment="1">
      <alignment horizontal="center" vertical="center"/>
    </xf>
    <xf numFmtId="0" fontId="18" fillId="13" borderId="27" xfId="0" applyFont="1" applyFill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center" vertical="center"/>
      <protection locked="0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/>
    <xf numFmtId="0" fontId="0" fillId="5" borderId="10" xfId="0" applyNumberFormat="1" applyFill="1" applyBorder="1" applyAlignment="1" applyProtection="1">
      <alignment vertical="center"/>
      <protection locked="0"/>
    </xf>
    <xf numFmtId="0" fontId="11" fillId="13" borderId="53" xfId="0" applyFont="1" applyFill="1" applyBorder="1" applyAlignment="1" applyProtection="1">
      <alignment horizontal="center" vertical="center"/>
    </xf>
    <xf numFmtId="0" fontId="5" fillId="5" borderId="50" xfId="0" applyFont="1" applyFill="1" applyBorder="1" applyAlignment="1">
      <alignment horizontal="center" vertical="center"/>
    </xf>
    <xf numFmtId="0" fontId="5" fillId="5" borderId="37" xfId="0" applyFont="1" applyFill="1" applyBorder="1" applyAlignment="1">
      <alignment horizontal="center" vertical="center"/>
    </xf>
    <xf numFmtId="0" fontId="5" fillId="5" borderId="54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21" fillId="16" borderId="24" xfId="0" applyFont="1" applyFill="1" applyBorder="1" applyAlignment="1">
      <alignment horizontal="center" vertical="center"/>
    </xf>
    <xf numFmtId="0" fontId="21" fillId="16" borderId="54" xfId="0" applyFont="1" applyFill="1" applyBorder="1" applyAlignment="1">
      <alignment horizontal="center" vertical="center"/>
    </xf>
    <xf numFmtId="0" fontId="5" fillId="7" borderId="57" xfId="0" applyFont="1" applyFill="1" applyBorder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5" fillId="7" borderId="61" xfId="0" applyFont="1" applyFill="1" applyBorder="1" applyAlignment="1">
      <alignment horizontal="center" vertical="center"/>
    </xf>
    <xf numFmtId="0" fontId="9" fillId="15" borderId="34" xfId="0" applyFont="1" applyFill="1" applyBorder="1" applyAlignment="1" applyProtection="1">
      <alignment horizontal="center" vertical="center"/>
      <protection locked="0"/>
    </xf>
    <xf numFmtId="0" fontId="5" fillId="15" borderId="53" xfId="0" applyFont="1" applyFill="1" applyBorder="1" applyAlignment="1" applyProtection="1">
      <alignment horizontal="center" vertical="center"/>
      <protection locked="0"/>
    </xf>
    <xf numFmtId="0" fontId="5" fillId="15" borderId="55" xfId="0" applyFont="1" applyFill="1" applyBorder="1" applyAlignment="1" applyProtection="1">
      <alignment horizontal="center" vertical="center"/>
      <protection locked="0"/>
    </xf>
    <xf numFmtId="0" fontId="5" fillId="15" borderId="46" xfId="0" applyFont="1" applyFill="1" applyBorder="1" applyAlignment="1" applyProtection="1">
      <alignment horizontal="center" vertical="center"/>
      <protection locked="0"/>
    </xf>
    <xf numFmtId="0" fontId="5" fillId="5" borderId="20" xfId="0" applyFont="1" applyFill="1" applyBorder="1" applyAlignment="1">
      <alignment horizontal="center" vertical="center"/>
    </xf>
    <xf numFmtId="0" fontId="8" fillId="5" borderId="43" xfId="0" applyFont="1" applyFill="1" applyBorder="1" applyAlignment="1">
      <alignment horizontal="center" vertical="center"/>
    </xf>
    <xf numFmtId="0" fontId="5" fillId="5" borderId="62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6" fillId="5" borderId="38" xfId="0" applyFont="1" applyFill="1" applyBorder="1" applyAlignment="1" applyProtection="1">
      <alignment vertical="center"/>
      <protection locked="0"/>
    </xf>
    <xf numFmtId="0" fontId="22" fillId="5" borderId="18" xfId="0" applyFont="1" applyFill="1" applyBorder="1" applyAlignment="1" applyProtection="1">
      <alignment horizontal="right" vertical="center"/>
      <protection locked="0"/>
    </xf>
    <xf numFmtId="0" fontId="22" fillId="5" borderId="10" xfId="0" applyFont="1" applyFill="1" applyBorder="1" applyAlignment="1" applyProtection="1">
      <alignment horizontal="right" vertical="center"/>
      <protection locked="0"/>
    </xf>
    <xf numFmtId="0" fontId="1" fillId="5" borderId="63" xfId="0" applyFont="1" applyFill="1" applyBorder="1" applyAlignment="1" applyProtection="1">
      <alignment vertical="center"/>
      <protection locked="0"/>
    </xf>
    <xf numFmtId="0" fontId="22" fillId="5" borderId="64" xfId="0" applyFont="1" applyFill="1" applyBorder="1" applyAlignment="1" applyProtection="1">
      <alignment horizontal="right" vertical="center"/>
      <protection locked="0"/>
    </xf>
    <xf numFmtId="0" fontId="9" fillId="15" borderId="65" xfId="0" applyFont="1" applyFill="1" applyBorder="1" applyAlignment="1" applyProtection="1">
      <alignment horizontal="center" vertical="center"/>
      <protection locked="0"/>
    </xf>
    <xf numFmtId="0" fontId="5" fillId="0" borderId="66" xfId="0" applyFont="1" applyFill="1" applyBorder="1" applyAlignment="1" applyProtection="1">
      <alignment horizontal="center" vertical="center"/>
      <protection locked="0"/>
    </xf>
    <xf numFmtId="0" fontId="9" fillId="15" borderId="67" xfId="0" applyFont="1" applyFill="1" applyBorder="1" applyAlignment="1" applyProtection="1">
      <alignment horizontal="center" vertical="center"/>
      <protection locked="0"/>
    </xf>
    <xf numFmtId="0" fontId="9" fillId="15" borderId="68" xfId="0" applyFont="1" applyFill="1" applyBorder="1" applyAlignment="1" applyProtection="1">
      <alignment horizontal="center" vertical="center"/>
      <protection locked="0"/>
    </xf>
    <xf numFmtId="0" fontId="9" fillId="15" borderId="69" xfId="0" applyFont="1" applyFill="1" applyBorder="1" applyAlignment="1" applyProtection="1">
      <alignment horizontal="center" vertical="center"/>
      <protection locked="0"/>
    </xf>
    <xf numFmtId="0" fontId="11" fillId="13" borderId="70" xfId="0" applyFont="1" applyFill="1" applyBorder="1" applyAlignment="1" applyProtection="1">
      <alignment horizontal="center" vertical="center"/>
    </xf>
    <xf numFmtId="0" fontId="11" fillId="13" borderId="4" xfId="0" applyFont="1" applyFill="1" applyBorder="1" applyAlignment="1" applyProtection="1">
      <alignment horizontal="center" vertical="center"/>
      <protection locked="0"/>
    </xf>
    <xf numFmtId="0" fontId="0" fillId="5" borderId="41" xfId="0" applyFill="1" applyBorder="1" applyAlignment="1" applyProtection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5" borderId="10" xfId="0" applyFill="1" applyBorder="1" applyAlignment="1" applyProtection="1">
      <alignment horizontal="right" vertical="center"/>
      <protection locked="0"/>
    </xf>
    <xf numFmtId="0" fontId="8" fillId="18" borderId="71" xfId="0" applyFont="1" applyFill="1" applyBorder="1" applyAlignment="1">
      <alignment horizontal="center"/>
    </xf>
    <xf numFmtId="0" fontId="8" fillId="18" borderId="72" xfId="0" applyFont="1" applyFill="1" applyBorder="1" applyAlignment="1">
      <alignment horizontal="center"/>
    </xf>
    <xf numFmtId="0" fontId="8" fillId="18" borderId="48" xfId="0" applyFont="1" applyFill="1" applyBorder="1" applyAlignment="1">
      <alignment horizontal="center"/>
    </xf>
    <xf numFmtId="0" fontId="8" fillId="18" borderId="49" xfId="0" applyFont="1" applyFill="1" applyBorder="1" applyAlignment="1">
      <alignment horizontal="center"/>
    </xf>
    <xf numFmtId="0" fontId="8" fillId="19" borderId="57" xfId="0" applyFont="1" applyFill="1" applyBorder="1" applyAlignment="1">
      <alignment horizontal="center"/>
    </xf>
    <xf numFmtId="0" fontId="8" fillId="19" borderId="73" xfId="0" applyFont="1" applyFill="1" applyBorder="1" applyAlignment="1">
      <alignment horizontal="center"/>
    </xf>
    <xf numFmtId="0" fontId="8" fillId="19" borderId="74" xfId="0" applyFont="1" applyFill="1" applyBorder="1" applyAlignment="1">
      <alignment horizontal="center"/>
    </xf>
    <xf numFmtId="0" fontId="0" fillId="5" borderId="3" xfId="0" applyFill="1" applyBorder="1" applyAlignment="1">
      <alignment vertical="center"/>
    </xf>
    <xf numFmtId="0" fontId="1" fillId="5" borderId="3" xfId="0" applyFont="1" applyFill="1" applyBorder="1" applyAlignment="1">
      <alignment vertical="center"/>
    </xf>
    <xf numFmtId="0" fontId="0" fillId="16" borderId="3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16" borderId="0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" fillId="5" borderId="5" xfId="0" applyFont="1" applyFill="1" applyBorder="1" applyAlignment="1">
      <alignment vertical="center"/>
    </xf>
    <xf numFmtId="0" fontId="0" fillId="16" borderId="5" xfId="0" applyFill="1" applyBorder="1" applyAlignment="1">
      <alignment vertical="center"/>
    </xf>
    <xf numFmtId="0" fontId="8" fillId="15" borderId="31" xfId="0" applyFont="1" applyFill="1" applyBorder="1" applyAlignment="1" applyProtection="1">
      <alignment horizontal="center"/>
      <protection locked="0"/>
    </xf>
    <xf numFmtId="0" fontId="8" fillId="15" borderId="35" xfId="0" applyFont="1" applyFill="1" applyBorder="1" applyAlignment="1" applyProtection="1">
      <alignment horizontal="center"/>
      <protection locked="0"/>
    </xf>
    <xf numFmtId="0" fontId="8" fillId="15" borderId="75" xfId="0" applyFont="1" applyFill="1" applyBorder="1" applyAlignment="1" applyProtection="1">
      <alignment horizontal="center"/>
      <protection locked="0"/>
    </xf>
    <xf numFmtId="0" fontId="8" fillId="15" borderId="18" xfId="0" applyFont="1" applyFill="1" applyBorder="1" applyAlignment="1" applyProtection="1">
      <alignment horizontal="center"/>
      <protection locked="0"/>
    </xf>
    <xf numFmtId="0" fontId="8" fillId="15" borderId="9" xfId="0" applyFont="1" applyFill="1" applyBorder="1" applyAlignment="1" applyProtection="1">
      <alignment horizontal="center"/>
      <protection locked="0"/>
    </xf>
    <xf numFmtId="0" fontId="8" fillId="15" borderId="22" xfId="0" applyFont="1" applyFill="1" applyBorder="1" applyAlignment="1" applyProtection="1">
      <alignment horizontal="center"/>
      <protection locked="0"/>
    </xf>
    <xf numFmtId="0" fontId="8" fillId="15" borderId="32" xfId="0" applyFont="1" applyFill="1" applyBorder="1" applyAlignment="1" applyProtection="1">
      <alignment horizontal="center"/>
      <protection locked="0"/>
    </xf>
    <xf numFmtId="0" fontId="8" fillId="15" borderId="17" xfId="0" applyFont="1" applyFill="1" applyBorder="1" applyAlignment="1" applyProtection="1">
      <alignment horizontal="center"/>
      <protection locked="0"/>
    </xf>
    <xf numFmtId="0" fontId="8" fillId="15" borderId="23" xfId="0" applyFont="1" applyFill="1" applyBorder="1" applyAlignment="1" applyProtection="1">
      <alignment horizontal="center"/>
      <protection locked="0"/>
    </xf>
    <xf numFmtId="0" fontId="8" fillId="15" borderId="14" xfId="0" applyFont="1" applyFill="1" applyBorder="1" applyAlignment="1" applyProtection="1">
      <alignment horizontal="center"/>
      <protection locked="0"/>
    </xf>
    <xf numFmtId="0" fontId="8" fillId="15" borderId="15" xfId="0" applyFont="1" applyFill="1" applyBorder="1" applyAlignment="1" applyProtection="1">
      <alignment horizontal="center"/>
      <protection locked="0"/>
    </xf>
    <xf numFmtId="0" fontId="8" fillId="18" borderId="76" xfId="0" applyFont="1" applyFill="1" applyBorder="1" applyAlignment="1">
      <alignment horizontal="center" vertical="center" wrapText="1"/>
    </xf>
    <xf numFmtId="0" fontId="8" fillId="18" borderId="30" xfId="0" applyFont="1" applyFill="1" applyBorder="1" applyAlignment="1">
      <alignment horizontal="center" vertical="center" wrapText="1"/>
    </xf>
    <xf numFmtId="0" fontId="5" fillId="7" borderId="58" xfId="0" applyFont="1" applyFill="1" applyBorder="1" applyAlignment="1">
      <alignment horizontal="center" vertical="center"/>
    </xf>
    <xf numFmtId="0" fontId="5" fillId="7" borderId="59" xfId="0" applyFont="1" applyFill="1" applyBorder="1" applyAlignment="1">
      <alignment horizontal="center" vertical="center"/>
    </xf>
    <xf numFmtId="0" fontId="5" fillId="7" borderId="60" xfId="0" applyFont="1" applyFill="1" applyBorder="1" applyAlignment="1">
      <alignment horizontal="center" vertical="center"/>
    </xf>
    <xf numFmtId="0" fontId="5" fillId="15" borderId="55" xfId="0" applyFont="1" applyFill="1" applyBorder="1" applyAlignment="1" applyProtection="1">
      <alignment horizontal="center" vertical="center"/>
      <protection locked="0"/>
    </xf>
    <xf numFmtId="0" fontId="5" fillId="15" borderId="5" xfId="0" applyFont="1" applyFill="1" applyBorder="1" applyAlignment="1" applyProtection="1">
      <alignment horizontal="center" vertical="center"/>
      <protection locked="0"/>
    </xf>
    <xf numFmtId="0" fontId="5" fillId="15" borderId="56" xfId="0" applyFont="1" applyFill="1" applyBorder="1" applyAlignment="1" applyProtection="1">
      <alignment horizontal="center" vertical="center"/>
      <protection locked="0"/>
    </xf>
    <xf numFmtId="0" fontId="11" fillId="13" borderId="47" xfId="0" applyFont="1" applyFill="1" applyBorder="1" applyAlignment="1">
      <alignment horizontal="center" vertical="center"/>
    </xf>
    <xf numFmtId="0" fontId="11" fillId="13" borderId="48" xfId="0" applyFont="1" applyFill="1" applyBorder="1" applyAlignment="1">
      <alignment horizontal="center" vertical="center"/>
    </xf>
    <xf numFmtId="0" fontId="11" fillId="13" borderId="49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12" borderId="52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4" borderId="52" xfId="0" applyFont="1" applyFill="1" applyBorder="1" applyAlignment="1">
      <alignment horizontal="center" vertical="center"/>
    </xf>
    <xf numFmtId="0" fontId="2" fillId="14" borderId="4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2" fillId="14" borderId="6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11" fillId="13" borderId="5" xfId="0" applyFont="1" applyFill="1" applyBorder="1" applyAlignment="1">
      <alignment horizontal="center" vertical="center"/>
    </xf>
    <xf numFmtId="0" fontId="11" fillId="13" borderId="6" xfId="0" applyFont="1" applyFill="1" applyBorder="1" applyAlignment="1">
      <alignment horizontal="center" vertical="center"/>
    </xf>
    <xf numFmtId="0" fontId="0" fillId="6" borderId="19" xfId="0" applyFill="1" applyBorder="1" applyAlignment="1" applyProtection="1">
      <alignment horizontal="right" vertical="center"/>
      <protection locked="0"/>
    </xf>
    <xf numFmtId="0" fontId="0" fillId="6" borderId="10" xfId="0" applyFill="1" applyBorder="1" applyAlignment="1" applyProtection="1">
      <alignment horizontal="right" vertical="center"/>
      <protection locked="0"/>
    </xf>
    <xf numFmtId="0" fontId="1" fillId="8" borderId="19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0" fontId="5" fillId="5" borderId="19" xfId="0" applyFont="1" applyFill="1" applyBorder="1" applyAlignment="1" applyProtection="1">
      <alignment horizontal="center" vertical="center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right" vertical="center"/>
      <protection locked="0"/>
    </xf>
    <xf numFmtId="0" fontId="0" fillId="2" borderId="10" xfId="0" applyFill="1" applyBorder="1" applyAlignment="1" applyProtection="1">
      <alignment horizontal="right" vertical="center"/>
      <protection locked="0"/>
    </xf>
    <xf numFmtId="0" fontId="0" fillId="4" borderId="19" xfId="0" applyFill="1" applyBorder="1" applyAlignment="1" applyProtection="1">
      <alignment horizontal="right" vertical="center"/>
      <protection locked="0"/>
    </xf>
    <xf numFmtId="0" fontId="0" fillId="4" borderId="10" xfId="0" applyFill="1" applyBorder="1" applyAlignment="1" applyProtection="1">
      <alignment horizontal="right" vertical="center"/>
      <protection locked="0"/>
    </xf>
    <xf numFmtId="0" fontId="11" fillId="3" borderId="3" xfId="0" applyFont="1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right" vertical="center"/>
      <protection locked="0"/>
    </xf>
    <xf numFmtId="0" fontId="0" fillId="4" borderId="1" xfId="0" applyFill="1" applyBorder="1" applyAlignment="1" applyProtection="1">
      <alignment horizontal="right" vertical="center"/>
      <protection locked="0"/>
    </xf>
    <xf numFmtId="0" fontId="1" fillId="9" borderId="1" xfId="0" applyFont="1" applyFill="1" applyBorder="1" applyAlignment="1">
      <alignment horizontal="center" vertical="center"/>
    </xf>
    <xf numFmtId="0" fontId="0" fillId="5" borderId="1" xfId="0" applyFill="1" applyBorder="1" applyAlignment="1" applyProtection="1">
      <alignment horizontal="right" vertical="center"/>
      <protection locked="0"/>
    </xf>
    <xf numFmtId="0" fontId="1" fillId="9" borderId="11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left" vertical="center"/>
    </xf>
    <xf numFmtId="0" fontId="1" fillId="17" borderId="0" xfId="0" applyFont="1" applyFill="1" applyBorder="1" applyAlignment="1">
      <alignment horizontal="center" vertical="center"/>
    </xf>
    <xf numFmtId="0" fontId="1" fillId="17" borderId="39" xfId="0" applyFont="1" applyFill="1" applyBorder="1" applyAlignment="1">
      <alignment horizontal="center" vertical="center"/>
    </xf>
    <xf numFmtId="0" fontId="0" fillId="5" borderId="77" xfId="0" applyFill="1" applyBorder="1" applyAlignment="1" applyProtection="1">
      <alignment horizontal="right" vertical="center"/>
      <protection locked="0"/>
    </xf>
    <xf numFmtId="0" fontId="0" fillId="5" borderId="28" xfId="0" applyFill="1" applyBorder="1" applyAlignment="1" applyProtection="1">
      <alignment horizontal="right" vertical="center"/>
      <protection locked="0"/>
    </xf>
    <xf numFmtId="0" fontId="1" fillId="9" borderId="7" xfId="0" applyFont="1" applyFill="1" applyBorder="1" applyAlignment="1">
      <alignment horizontal="center" vertical="center"/>
    </xf>
    <xf numFmtId="0" fontId="0" fillId="6" borderId="1" xfId="0" applyFill="1" applyBorder="1" applyAlignment="1" applyProtection="1">
      <alignment horizontal="right" vertical="center"/>
      <protection locked="0"/>
    </xf>
    <xf numFmtId="0" fontId="0" fillId="5" borderId="11" xfId="0" applyFill="1" applyBorder="1" applyAlignment="1" applyProtection="1">
      <alignment horizontal="right" vertical="center"/>
      <protection locked="0"/>
    </xf>
    <xf numFmtId="0" fontId="0" fillId="5" borderId="10" xfId="0" applyFill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15"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2" tint="-0.499984740745262"/>
      </font>
      <fill>
        <patternFill>
          <bgColor theme="0" tint="-4.9989318521683403E-2"/>
        </patternFill>
      </fill>
    </dxf>
    <dxf>
      <font>
        <b val="0"/>
        <i/>
        <color theme="0" tint="-0.24994659260841701"/>
      </font>
      <fill>
        <patternFill>
          <bgColor theme="0" tint="-4.9989318521683403E-2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'3D'!$G$35:$G$36</c:f>
          <c:strCache>
            <c:ptCount val="2"/>
            <c:pt idx="0">
              <c:v>Epaisseurs Circonférencielle</c:v>
            </c:pt>
          </c:strCache>
        </c:strRef>
      </c:tx>
      <c:layout>
        <c:manualLayout>
          <c:xMode val="edge"/>
          <c:yMode val="edge"/>
          <c:x val="5.5243342516069813E-2"/>
          <c:y val="2.9465930018416207E-2"/>
        </c:manualLayout>
      </c:layout>
      <c:overlay val="0"/>
      <c:txPr>
        <a:bodyPr/>
        <a:lstStyle/>
        <a:p>
          <a:pPr>
            <a:defRPr sz="900"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0548892996546511"/>
          <c:y val="0.12344661812819757"/>
          <c:w val="0.60109797093676276"/>
          <c:h val="0.70405304727046547"/>
        </c:manualLayout>
      </c:layout>
      <c:radarChart>
        <c:radarStyle val="marker"/>
        <c:varyColors val="0"/>
        <c:ser>
          <c:idx val="0"/>
          <c:order val="0"/>
          <c:tx>
            <c:strRef>
              <c:f>'3D'!$G$37</c:f>
              <c:strCache>
                <c:ptCount val="1"/>
                <c:pt idx="0">
                  <c:v>0</c:v>
                </c:pt>
              </c:strCache>
            </c:strRef>
          </c:tx>
          <c:spPr>
            <a:ln w="1270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[1]Feuil1!$C$3:$J$3</c:f>
              <c:strCache>
                <c:ptCount val="8"/>
                <c:pt idx="0">
                  <c:v>Haut</c:v>
                </c:pt>
                <c:pt idx="1">
                  <c:v>0</c:v>
                </c:pt>
                <c:pt idx="2">
                  <c:v>LDR</c:v>
                </c:pt>
                <c:pt idx="3">
                  <c:v>0</c:v>
                </c:pt>
                <c:pt idx="4">
                  <c:v>Bas</c:v>
                </c:pt>
                <c:pt idx="5">
                  <c:v>0</c:v>
                </c:pt>
                <c:pt idx="6">
                  <c:v>Inj</c:v>
                </c:pt>
                <c:pt idx="7">
                  <c:v>0</c:v>
                </c:pt>
              </c:strCache>
            </c:strRef>
          </c:cat>
          <c:val>
            <c:numRef>
              <c:f>'3D'!$H$37:$O$37</c:f>
              <c:numCache>
                <c:formatCode>General</c:formatCode>
                <c:ptCount val="8"/>
                <c:pt idx="0">
                  <c:v>15.02</c:v>
                </c:pt>
                <c:pt idx="1">
                  <c:v>15.06</c:v>
                </c:pt>
                <c:pt idx="2">
                  <c:v>14.98</c:v>
                </c:pt>
                <c:pt idx="3">
                  <c:v>15.01</c:v>
                </c:pt>
                <c:pt idx="4">
                  <c:v>15</c:v>
                </c:pt>
                <c:pt idx="5">
                  <c:v>15.03</c:v>
                </c:pt>
                <c:pt idx="6">
                  <c:v>14.97</c:v>
                </c:pt>
                <c:pt idx="7">
                  <c:v>14.99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F-4F35-B289-B8C3C98C43BF}"/>
            </c:ext>
          </c:extLst>
        </c:ser>
        <c:ser>
          <c:idx val="1"/>
          <c:order val="1"/>
          <c:tx>
            <c:strRef>
              <c:f>'3D'!$G$38</c:f>
              <c:strCache>
                <c:ptCount val="1"/>
              </c:strCache>
            </c:strRef>
          </c:tx>
          <c:spPr>
            <a:ln w="1270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[1]Feuil1!$C$3:$J$3</c:f>
              <c:strCache>
                <c:ptCount val="8"/>
                <c:pt idx="0">
                  <c:v>Haut</c:v>
                </c:pt>
                <c:pt idx="1">
                  <c:v>0</c:v>
                </c:pt>
                <c:pt idx="2">
                  <c:v>LDR</c:v>
                </c:pt>
                <c:pt idx="3">
                  <c:v>0</c:v>
                </c:pt>
                <c:pt idx="4">
                  <c:v>Bas</c:v>
                </c:pt>
                <c:pt idx="5">
                  <c:v>0</c:v>
                </c:pt>
                <c:pt idx="6">
                  <c:v>Inj</c:v>
                </c:pt>
                <c:pt idx="7">
                  <c:v>0</c:v>
                </c:pt>
              </c:strCache>
            </c:strRef>
          </c:cat>
          <c:val>
            <c:numRef>
              <c:f>'3D'!$H$38:$O$38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FDEF-4F35-B289-B8C3C98C4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4096"/>
        <c:axId val="89416832"/>
      </c:radarChart>
      <c:catAx>
        <c:axId val="8896409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89416832"/>
        <c:crosses val="autoZero"/>
        <c:auto val="1"/>
        <c:lblAlgn val="ctr"/>
        <c:lblOffset val="100"/>
        <c:noMultiLvlLbl val="0"/>
      </c:catAx>
      <c:valAx>
        <c:axId val="894168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crossAx val="88964096"/>
        <c:crosses val="autoZero"/>
        <c:crossBetween val="between"/>
      </c:valAx>
      <c:spPr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11568131569760653"/>
          <c:y val="0.9123518567086214"/>
          <c:w val="0.85730706075533658"/>
          <c:h val="6.69225883366871E-2"/>
        </c:manualLayout>
      </c:layout>
      <c:overlay val="0"/>
    </c:legend>
    <c:plotVisOnly val="1"/>
    <c:dispBlanksAs val="gap"/>
    <c:showDLblsOverMax val="0"/>
  </c:chart>
  <c:spPr>
    <a:gradFill>
      <a:gsLst>
        <a:gs pos="0">
          <a:sysClr val="window" lastClr="FFFFFF"/>
        </a:gs>
        <a:gs pos="50000">
          <a:srgbClr val="4F81BD">
            <a:lumMod val="20000"/>
            <a:lumOff val="80000"/>
          </a:srgbClr>
        </a:gs>
        <a:gs pos="100000">
          <a:srgbClr val="4F81BD">
            <a:lumMod val="20000"/>
            <a:lumOff val="80000"/>
          </a:srgbClr>
        </a:gs>
      </a:gsLst>
      <a:lin ang="8400000" scaled="0"/>
    </a:gradFill>
    <a:ln>
      <a:noFill/>
    </a:ln>
    <a:effectLst>
      <a:outerShdw blurRad="101600" dist="114300" dir="2700000" algn="tl" rotWithShape="0">
        <a:prstClr val="black">
          <a:alpha val="30000"/>
        </a:prstClr>
      </a:outerShdw>
    </a:effectLst>
    <a:scene3d>
      <a:camera prst="orthographicFront"/>
      <a:lightRig rig="threePt" dir="t"/>
    </a:scene3d>
    <a:sp3d>
      <a:bevelT w="63500" h="63500" prst="convex"/>
    </a:sp3d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croll" dx="16" fmlaLink="$B$10" horiz="1" inc="5" max="360" page="10" val="340"/>
</file>

<file path=xl/ctrlProps/ctrlProp2.xml><?xml version="1.0" encoding="utf-8"?>
<formControlPr xmlns="http://schemas.microsoft.com/office/spreadsheetml/2009/9/main" objectType="Scroll" dx="16" fmlaLink="$B$7" horiz="1" max="500" page="10" val="305"/>
</file>

<file path=xl/ctrlProps/ctrlProp3.xml><?xml version="1.0" encoding="utf-8"?>
<formControlPr xmlns="http://schemas.microsoft.com/office/spreadsheetml/2009/9/main" objectType="Scroll" dx="16" fmlaLink="$B$5" horiz="1" max="600" min="50" page="10" val="303"/>
</file>

<file path=xl/ctrlProps/ctrlProp4.xml><?xml version="1.0" encoding="utf-8"?>
<formControlPr xmlns="http://schemas.microsoft.com/office/spreadsheetml/2009/9/main" objectType="Scroll" dx="16" fmlaLink="$B$26" horiz="1" max="255" page="10" val="255"/>
</file>

<file path=xl/ctrlProps/ctrlProp5.xml><?xml version="1.0" encoding="utf-8"?>
<formControlPr xmlns="http://schemas.microsoft.com/office/spreadsheetml/2009/9/main" objectType="Scroll" dx="16" fmlaLink="$B$27" horiz="1" max="255" page="10" val="255"/>
</file>

<file path=xl/ctrlProps/ctrlProp6.xml><?xml version="1.0" encoding="utf-8"?>
<formControlPr xmlns="http://schemas.microsoft.com/office/spreadsheetml/2009/9/main" objectType="Scroll" dx="16" fmlaLink="$B$28" horiz="1" max="255" page="10" val="0"/>
</file>

<file path=xl/ctrlProps/ctrlProp7.xml><?xml version="1.0" encoding="utf-8"?>
<formControlPr xmlns="http://schemas.microsoft.com/office/spreadsheetml/2009/9/main" objectType="Scroll" dx="16" fmlaLink="$B$11" horiz="1" inc="5" max="360" page="10" val="20"/>
</file>

<file path=xl/ctrlProps/ctrlProp8.xml><?xml version="1.0" encoding="utf-8"?>
<formControlPr xmlns="http://schemas.microsoft.com/office/spreadsheetml/2009/9/main" objectType="Scroll" dx="16" fmlaLink="$B$12" horiz="1" inc="5" max="360" page="10" val="0"/>
</file>

<file path=xl/ctrlProps/ctrlProp9.xml><?xml version="1.0" encoding="utf-8"?>
<formControlPr xmlns="http://schemas.microsoft.com/office/spreadsheetml/2009/9/main" objectType="Scroll" dx="16" fmlaLink="$B$23" horiz="1" inc="10" max="360" page="10" val="0"/>
</file>

<file path=xl/ctrlProps/ctrlProp10.xml><?xml version="1.0" encoding="utf-8"?>
<formControlPr xmlns="http://schemas.microsoft.com/office/spreadsheetml/2009/9/main" objectType="Drop" dropLines="12" dropStyle="combo" dx="15" fmlaLink="$B$21" fmlaRange="Divers!$B$2:$B$16" sel="13" val="3"/>
</file>

<file path=xl/ctrlProps/ctrlProp11.xml><?xml version="1.0" encoding="utf-8"?>
<formControlPr xmlns="http://schemas.microsoft.com/office/spreadsheetml/2009/9/main" objectType="Scroll" dx="16" fmlaLink="$C$16" horiz="1" max="10" page="5" val="3"/>
</file>

<file path=xl/ctrlProps/ctrlProp12.xml><?xml version="1.0" encoding="utf-8"?>
<formControlPr xmlns="http://schemas.microsoft.com/office/spreadsheetml/2009/9/main" objectType="CheckBox" fmlaLink="$B$17" lockText="1"/>
</file>

<file path=xl/ctrlProps/ctrlProp13.xml><?xml version="1.0" encoding="utf-8"?>
<formControlPr xmlns="http://schemas.microsoft.com/office/spreadsheetml/2009/9/main" objectType="CheckBox" fmlaLink="$B$16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X$18" horiz="1" max="255" page="10" val="255"/>
</file>

<file path=xl/ctrlProps/ctrlProp16.xml><?xml version="1.0" encoding="utf-8"?>
<formControlPr xmlns="http://schemas.microsoft.com/office/spreadsheetml/2009/9/main" objectType="Scroll" dx="16" fmlaLink="$X$19" horiz="1" max="255" page="10" val="111"/>
</file>

<file path=xl/ctrlProps/ctrlProp17.xml><?xml version="1.0" encoding="utf-8"?>
<formControlPr xmlns="http://schemas.microsoft.com/office/spreadsheetml/2009/9/main" objectType="Scroll" dx="16" fmlaLink="$X$20" horiz="1" max="255" page="10" val="99"/>
</file>

<file path=xl/ctrlProps/ctrlProp18.xml><?xml version="1.0" encoding="utf-8"?>
<formControlPr xmlns="http://schemas.microsoft.com/office/spreadsheetml/2009/9/main" objectType="Scroll" dx="16" fmlaLink="$W$20" horiz="1" max="500" page="10" val="0"/>
</file>

<file path=xl/ctrlProps/ctrlProp19.xml><?xml version="1.0" encoding="utf-8"?>
<formControlPr xmlns="http://schemas.microsoft.com/office/spreadsheetml/2009/9/main" objectType="Drop" dropLines="12" dropStyle="combo" dx="15" fmlaLink="$U$18" fmlaRange="Divers!$B$2:$B$16" sel="8" val="3"/>
</file>

<file path=xl/ctrlProps/ctrlProp20.xml><?xml version="1.0" encoding="utf-8"?>
<formControlPr xmlns="http://schemas.microsoft.com/office/spreadsheetml/2009/9/main" objectType="Scroll" dx="16" fmlaLink="$B$33" horiz="1" max="360" page="5" val="360"/>
</file>

<file path=xl/ctrlProps/ctrlProp21.xml><?xml version="1.0" encoding="utf-8"?>
<formControlPr xmlns="http://schemas.microsoft.com/office/spreadsheetml/2009/9/main" objectType="Scroll" dx="16" fmlaLink="$B$31" horiz="1" max="360" page="5" val="0"/>
</file>

<file path=xl/ctrlProps/ctrlProp22.xml><?xml version="1.0" encoding="utf-8"?>
<formControlPr xmlns="http://schemas.microsoft.com/office/spreadsheetml/2009/9/main" objectType="CheckBox" fmlaLink="$AH$32" lockText="1"/>
</file>

<file path=xl/ctrlProps/ctrlProp23.xml><?xml version="1.0" encoding="utf-8"?>
<formControlPr xmlns="http://schemas.microsoft.com/office/spreadsheetml/2009/9/main" objectType="Scroll" dx="16" fmlaLink="$B$35" horiz="1" max="30" min="1" page="5" val="21"/>
</file>

<file path=xl/ctrlProps/ctrlProp24.xml><?xml version="1.0" encoding="utf-8"?>
<formControlPr xmlns="http://schemas.microsoft.com/office/spreadsheetml/2009/9/main" objectType="Scroll" dx="16" fmlaLink="$X$22" horiz="1" inc="10" max="30000" min="1" page="100" val="19124"/>
</file>

<file path=xl/ctrlProps/ctrlProp25.xml><?xml version="1.0" encoding="utf-8"?>
<formControlPr xmlns="http://schemas.microsoft.com/office/spreadsheetml/2009/9/main" objectType="Scroll" dx="16" fmlaLink="$W$26" horiz="1" max="360" page="15" val="48"/>
</file>

<file path=xl/ctrlProps/ctrlProp26.xml><?xml version="1.0" encoding="utf-8"?>
<formControlPr xmlns="http://schemas.microsoft.com/office/spreadsheetml/2009/9/main" objectType="Scroll" dx="16" fmlaLink="$X$24" horiz="1" max="3000" min="1" page="10" val="1025"/>
</file>

<file path=xl/ctrlProps/ctrlProp27.xml><?xml version="1.0" encoding="utf-8"?>
<formControlPr xmlns="http://schemas.microsoft.com/office/spreadsheetml/2009/9/main" objectType="Scroll" dx="16" fmlaLink="$X$26" horiz="1" max="3000" min="1" page="10" val="717"/>
</file>

<file path=xl/ctrlProps/ctrlProp28.xml><?xml version="1.0" encoding="utf-8"?>
<formControlPr xmlns="http://schemas.microsoft.com/office/spreadsheetml/2009/9/main" objectType="Scroll" dx="16" fmlaLink="$U$22" horiz="1" max="300" page="10" val="0"/>
</file>

<file path=xl/ctrlProps/ctrlProp29.xml><?xml version="1.0" encoding="utf-8"?>
<formControlPr xmlns="http://schemas.microsoft.com/office/spreadsheetml/2009/9/main" objectType="Scroll" dx="16" fmlaLink="$U$24" horiz="1" max="300" page="10" val="30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Scroll" dx="16" fmlaLink="$C$17" horiz="1" max="10" page="5" val="2"/>
</file>

<file path=xl/ctrlProps/ctrlProp34.xml><?xml version="1.0" encoding="utf-8"?>
<formControlPr xmlns="http://schemas.microsoft.com/office/spreadsheetml/2009/9/main" objectType="Scroll" dx="16" fmlaLink="$C$18" horiz="1" max="10" page="5" val="0"/>
</file>

<file path=xl/ctrlProps/ctrlProp35.xml><?xml version="1.0" encoding="utf-8"?>
<formControlPr xmlns="http://schemas.microsoft.com/office/spreadsheetml/2009/9/main" objectType="CheckBox" checked="Checked" fmlaLink="Divers!$A$2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809123</xdr:colOff>
      <xdr:row>39</xdr:row>
      <xdr:rowOff>28576</xdr:rowOff>
    </xdr:from>
    <xdr:to>
      <xdr:col>15</xdr:col>
      <xdr:colOff>828675</xdr:colOff>
      <xdr:row>62</xdr:row>
      <xdr:rowOff>171450</xdr:rowOff>
    </xdr:to>
    <xdr:graphicFrame macro="">
      <xdr:nvGraphicFramePr>
        <xdr:cNvPr id="68" name="Graphiqu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2</xdr:col>
          <xdr:colOff>504825</xdr:colOff>
          <xdr:row>9</xdr:row>
          <xdr:rowOff>171450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504825</xdr:colOff>
          <xdr:row>6</xdr:row>
          <xdr:rowOff>180975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2</xdr:col>
          <xdr:colOff>504825</xdr:colOff>
          <xdr:row>4</xdr:row>
          <xdr:rowOff>171450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19050</xdr:rowOff>
        </xdr:from>
        <xdr:to>
          <xdr:col>2</xdr:col>
          <xdr:colOff>504825</xdr:colOff>
          <xdr:row>25</xdr:row>
          <xdr:rowOff>180975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26</xdr:row>
          <xdr:rowOff>19050</xdr:rowOff>
        </xdr:from>
        <xdr:to>
          <xdr:col>2</xdr:col>
          <xdr:colOff>504825</xdr:colOff>
          <xdr:row>26</xdr:row>
          <xdr:rowOff>180975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27</xdr:row>
          <xdr:rowOff>19050</xdr:rowOff>
        </xdr:from>
        <xdr:to>
          <xdr:col>2</xdr:col>
          <xdr:colOff>504825</xdr:colOff>
          <xdr:row>27</xdr:row>
          <xdr:rowOff>180975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9525</xdr:rowOff>
        </xdr:from>
        <xdr:to>
          <xdr:col>2</xdr:col>
          <xdr:colOff>504825</xdr:colOff>
          <xdr:row>10</xdr:row>
          <xdr:rowOff>171450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2</xdr:col>
          <xdr:colOff>504825</xdr:colOff>
          <xdr:row>11</xdr:row>
          <xdr:rowOff>171450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9525</xdr:rowOff>
        </xdr:from>
        <xdr:to>
          <xdr:col>2</xdr:col>
          <xdr:colOff>504825</xdr:colOff>
          <xdr:row>22</xdr:row>
          <xdr:rowOff>180975</xdr:rowOff>
        </xdr:to>
        <xdr:sp macro="" textlink="">
          <xdr:nvSpPr>
            <xdr:cNvPr id="1053" name="Scroll Ba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9525</xdr:rowOff>
        </xdr:from>
        <xdr:to>
          <xdr:col>2</xdr:col>
          <xdr:colOff>762000</xdr:colOff>
          <xdr:row>20</xdr:row>
          <xdr:rowOff>180975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19050</xdr:rowOff>
        </xdr:from>
        <xdr:to>
          <xdr:col>2</xdr:col>
          <xdr:colOff>495300</xdr:colOff>
          <xdr:row>15</xdr:row>
          <xdr:rowOff>180975</xdr:rowOff>
        </xdr:to>
        <xdr:sp macro="" textlink="">
          <xdr:nvSpPr>
            <xdr:cNvPr id="1057" name="Scroll Bar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12</xdr:row>
          <xdr:rowOff>171450</xdr:rowOff>
        </xdr:from>
        <xdr:to>
          <xdr:col>4</xdr:col>
          <xdr:colOff>0</xdr:colOff>
          <xdr:row>14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12</xdr:row>
          <xdr:rowOff>171450</xdr:rowOff>
        </xdr:from>
        <xdr:to>
          <xdr:col>2</xdr:col>
          <xdr:colOff>95250</xdr:colOff>
          <xdr:row>14</xdr:row>
          <xdr:rowOff>9525</xdr:rowOff>
        </xdr:to>
        <xdr:sp macro="" textlink="">
          <xdr:nvSpPr>
            <xdr:cNvPr id="1061" name="Anim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3</xdr:row>
          <xdr:rowOff>104775</xdr:rowOff>
        </xdr:from>
        <xdr:to>
          <xdr:col>16</xdr:col>
          <xdr:colOff>533400</xdr:colOff>
          <xdr:row>4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dans un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17</xdr:row>
          <xdr:rowOff>19050</xdr:rowOff>
        </xdr:from>
        <xdr:to>
          <xdr:col>25</xdr:col>
          <xdr:colOff>247650</xdr:colOff>
          <xdr:row>17</xdr:row>
          <xdr:rowOff>180975</xdr:rowOff>
        </xdr:to>
        <xdr:sp macro="" textlink="">
          <xdr:nvSpPr>
            <xdr:cNvPr id="1073" name="Scroll Bar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18</xdr:row>
          <xdr:rowOff>19050</xdr:rowOff>
        </xdr:from>
        <xdr:to>
          <xdr:col>25</xdr:col>
          <xdr:colOff>247650</xdr:colOff>
          <xdr:row>18</xdr:row>
          <xdr:rowOff>180975</xdr:rowOff>
        </xdr:to>
        <xdr:sp macro="" textlink="">
          <xdr:nvSpPr>
            <xdr:cNvPr id="1074" name="Scroll Bar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19</xdr:row>
          <xdr:rowOff>19050</xdr:rowOff>
        </xdr:from>
        <xdr:to>
          <xdr:col>25</xdr:col>
          <xdr:colOff>247650</xdr:colOff>
          <xdr:row>19</xdr:row>
          <xdr:rowOff>180975</xdr:rowOff>
        </xdr:to>
        <xdr:sp macro="" textlink="">
          <xdr:nvSpPr>
            <xdr:cNvPr id="1075" name="Scroll Bar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19</xdr:row>
          <xdr:rowOff>9525</xdr:rowOff>
        </xdr:from>
        <xdr:to>
          <xdr:col>22</xdr:col>
          <xdr:colOff>133350</xdr:colOff>
          <xdr:row>19</xdr:row>
          <xdr:rowOff>171450</xdr:rowOff>
        </xdr:to>
        <xdr:sp macro="" textlink="">
          <xdr:nvSpPr>
            <xdr:cNvPr id="1076" name="Scroll Bar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17</xdr:row>
          <xdr:rowOff>9525</xdr:rowOff>
        </xdr:from>
        <xdr:to>
          <xdr:col>22</xdr:col>
          <xdr:colOff>495300</xdr:colOff>
          <xdr:row>17</xdr:row>
          <xdr:rowOff>190500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706492</xdr:colOff>
      <xdr:row>16</xdr:row>
      <xdr:rowOff>50266</xdr:rowOff>
    </xdr:from>
    <xdr:ext cx="36000" cy="0"/>
    <xdr:sp macro="[0]!Ajout_Inclusion" textlink="">
      <xdr:nvSpPr>
        <xdr:cNvPr id="56" name="Inclusion 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8850367" y="3336391"/>
          <a:ext cx="36000" cy="0"/>
        </a:xfrm>
        <a:prstGeom prst="ellipse">
          <a:avLst/>
        </a:prstGeom>
        <a:solidFill>
          <a:srgbClr val="000000"/>
        </a:solidFill>
        <a:ln>
          <a:noFill/>
        </a:ln>
        <a:scene3d>
          <a:camera prst="orthographicFront">
            <a:rot lat="0" lon="0" rev="1800000"/>
          </a:camera>
          <a:lightRig rig="threePt" dir="t"/>
        </a:scene3d>
        <a:sp3d z="-1041400">
          <a:bevelT w="101600" h="101600"/>
          <a:bevelB w="101600"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32</xdr:row>
          <xdr:rowOff>9525</xdr:rowOff>
        </xdr:from>
        <xdr:to>
          <xdr:col>2</xdr:col>
          <xdr:colOff>504825</xdr:colOff>
          <xdr:row>32</xdr:row>
          <xdr:rowOff>180975</xdr:rowOff>
        </xdr:to>
        <xdr:sp macro="" textlink="">
          <xdr:nvSpPr>
            <xdr:cNvPr id="1079" name="Scroll Bar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9525</xdr:rowOff>
        </xdr:from>
        <xdr:to>
          <xdr:col>2</xdr:col>
          <xdr:colOff>504825</xdr:colOff>
          <xdr:row>30</xdr:row>
          <xdr:rowOff>171450</xdr:rowOff>
        </xdr:to>
        <xdr:sp macro="" textlink="">
          <xdr:nvSpPr>
            <xdr:cNvPr id="1080" name="Scroll Bar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27</xdr:row>
          <xdr:rowOff>114300</xdr:rowOff>
        </xdr:from>
        <xdr:to>
          <xdr:col>19</xdr:col>
          <xdr:colOff>209550</xdr:colOff>
          <xdr:row>28</xdr:row>
          <xdr:rowOff>85725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LDR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9525</xdr:rowOff>
        </xdr:from>
        <xdr:to>
          <xdr:col>2</xdr:col>
          <xdr:colOff>504825</xdr:colOff>
          <xdr:row>34</xdr:row>
          <xdr:rowOff>180975</xdr:rowOff>
        </xdr:to>
        <xdr:sp macro="" textlink="">
          <xdr:nvSpPr>
            <xdr:cNvPr id="1082" name="Scroll Bar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21</xdr:row>
          <xdr:rowOff>9525</xdr:rowOff>
        </xdr:from>
        <xdr:to>
          <xdr:col>25</xdr:col>
          <xdr:colOff>28575</xdr:colOff>
          <xdr:row>21</xdr:row>
          <xdr:rowOff>171450</xdr:rowOff>
        </xdr:to>
        <xdr:sp macro="" textlink="">
          <xdr:nvSpPr>
            <xdr:cNvPr id="1083" name="Scroll Bar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25</xdr:row>
          <xdr:rowOff>9525</xdr:rowOff>
        </xdr:from>
        <xdr:to>
          <xdr:col>22</xdr:col>
          <xdr:colOff>133350</xdr:colOff>
          <xdr:row>25</xdr:row>
          <xdr:rowOff>171450</xdr:rowOff>
        </xdr:to>
        <xdr:sp macro="" textlink="">
          <xdr:nvSpPr>
            <xdr:cNvPr id="1084" name="Scroll Bar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23</xdr:row>
          <xdr:rowOff>19050</xdr:rowOff>
        </xdr:from>
        <xdr:to>
          <xdr:col>25</xdr:col>
          <xdr:colOff>28575</xdr:colOff>
          <xdr:row>23</xdr:row>
          <xdr:rowOff>171450</xdr:rowOff>
        </xdr:to>
        <xdr:sp macro="" textlink="">
          <xdr:nvSpPr>
            <xdr:cNvPr id="1085" name="Scroll Bar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25</xdr:row>
          <xdr:rowOff>9525</xdr:rowOff>
        </xdr:from>
        <xdr:to>
          <xdr:col>25</xdr:col>
          <xdr:colOff>28575</xdr:colOff>
          <xdr:row>25</xdr:row>
          <xdr:rowOff>171450</xdr:rowOff>
        </xdr:to>
        <xdr:sp macro="" textlink="">
          <xdr:nvSpPr>
            <xdr:cNvPr id="1086" name="Scroll Bar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21</xdr:row>
          <xdr:rowOff>9525</xdr:rowOff>
        </xdr:from>
        <xdr:to>
          <xdr:col>22</xdr:col>
          <xdr:colOff>133350</xdr:colOff>
          <xdr:row>21</xdr:row>
          <xdr:rowOff>171450</xdr:rowOff>
        </xdr:to>
        <xdr:sp macro="" textlink="">
          <xdr:nvSpPr>
            <xdr:cNvPr id="1087" name="Scroll Bar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23</xdr:row>
          <xdr:rowOff>9525</xdr:rowOff>
        </xdr:from>
        <xdr:to>
          <xdr:col>22</xdr:col>
          <xdr:colOff>133350</xdr:colOff>
          <xdr:row>23</xdr:row>
          <xdr:rowOff>171450</xdr:rowOff>
        </xdr:to>
        <xdr:sp macro="" textlink="">
          <xdr:nvSpPr>
            <xdr:cNvPr id="1088" name="Scroll Bar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1</xdr:row>
          <xdr:rowOff>114300</xdr:rowOff>
        </xdr:from>
        <xdr:to>
          <xdr:col>20</xdr:col>
          <xdr:colOff>95250</xdr:colOff>
          <xdr:row>2</xdr:row>
          <xdr:rowOff>85725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1</xdr:row>
          <xdr:rowOff>114300</xdr:rowOff>
        </xdr:from>
        <xdr:to>
          <xdr:col>21</xdr:col>
          <xdr:colOff>466725</xdr:colOff>
          <xdr:row>2</xdr:row>
          <xdr:rowOff>85725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8</xdr:row>
          <xdr:rowOff>19050</xdr:rowOff>
        </xdr:from>
        <xdr:to>
          <xdr:col>3</xdr:col>
          <xdr:colOff>104775</xdr:colOff>
          <xdr:row>8</xdr:row>
          <xdr:rowOff>180975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19050</xdr:rowOff>
        </xdr:from>
        <xdr:to>
          <xdr:col>2</xdr:col>
          <xdr:colOff>495300</xdr:colOff>
          <xdr:row>16</xdr:row>
          <xdr:rowOff>180975</xdr:rowOff>
        </xdr:to>
        <xdr:sp macro="" textlink="">
          <xdr:nvSpPr>
            <xdr:cNvPr id="1099" name="Scroll Bar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17</xdr:row>
          <xdr:rowOff>19050</xdr:rowOff>
        </xdr:from>
        <xdr:to>
          <xdr:col>2</xdr:col>
          <xdr:colOff>495300</xdr:colOff>
          <xdr:row>17</xdr:row>
          <xdr:rowOff>180975</xdr:rowOff>
        </xdr:to>
        <xdr:sp macro="" textlink="">
          <xdr:nvSpPr>
            <xdr:cNvPr id="1100" name="Scroll Bar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35</xdr:row>
          <xdr:rowOff>142875</xdr:rowOff>
        </xdr:from>
        <xdr:to>
          <xdr:col>2</xdr:col>
          <xdr:colOff>476250</xdr:colOff>
          <xdr:row>37</xdr:row>
          <xdr:rowOff>9525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Axes angulaires</a:t>
              </a:r>
            </a:p>
          </xdr:txBody>
        </xdr:sp>
        <xdr:clientData/>
      </xdr:twoCellAnchor>
    </mc:Choice>
    <mc:Fallback/>
  </mc:AlternateContent>
  <xdr:twoCellAnchor>
    <xdr:from>
      <xdr:col>35</xdr:col>
      <xdr:colOff>644523</xdr:colOff>
      <xdr:row>105</xdr:row>
      <xdr:rowOff>158748</xdr:rowOff>
    </xdr:from>
    <xdr:to>
      <xdr:col>35</xdr:col>
      <xdr:colOff>644523</xdr:colOff>
      <xdr:row>105</xdr:row>
      <xdr:rowOff>158748</xdr:rowOff>
    </xdr:to>
    <xdr:sp macro="" textlink="">
      <xdr:nvSpPr>
        <xdr:cNvPr id="72" name="Secteur 300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/>
        </xdr:cNvSpPr>
      </xdr:nvSpPr>
      <xdr:spPr>
        <a:xfrm>
          <a:off x="23104473" y="20161248"/>
          <a:ext cx="0" cy="0"/>
        </a:xfrm>
        <a:prstGeom prst="blockArc">
          <a:avLst>
            <a:gd name="adj1" fmla="val 0"/>
            <a:gd name="adj2" fmla="val 0"/>
            <a:gd name="adj3" fmla="val 0"/>
          </a:avLst>
        </a:prstGeom>
        <a:solidFill>
          <a:srgbClr val="000000"/>
        </a:solidFill>
        <a:ln w="3175"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9000000"/>
          </a:lightRig>
        </a:scene3d>
        <a:sp3d prstMaterial="clear">
          <a:bevelT w="25400" h="25400"/>
          <a:bevelB w="25400" h="254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fr-FR" sz="1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7</xdr:col>
      <xdr:colOff>427929</xdr:colOff>
      <xdr:row>9</xdr:row>
      <xdr:rowOff>18105</xdr:rowOff>
    </xdr:from>
    <xdr:to>
      <xdr:col>14</xdr:col>
      <xdr:colOff>120335</xdr:colOff>
      <xdr:row>29</xdr:row>
      <xdr:rowOff>177236</xdr:rowOff>
    </xdr:to>
    <xdr:grpSp>
      <xdr:nvGrpSpPr>
        <xdr:cNvPr id="14" name="Groupe">
          <a:extLst>
            <a:ext uri="{FF2B5EF4-FFF2-40B4-BE49-F238E27FC236}">
              <a16:creationId xmlns:a16="http://schemas.microsoft.com/office/drawing/2014/main" id="{163CD432-E2FA-44DF-A5DF-632003DC5E3C}"/>
            </a:ext>
          </a:extLst>
        </xdr:cNvPr>
        <xdr:cNvGrpSpPr/>
      </xdr:nvGrpSpPr>
      <xdr:grpSpPr>
        <a:xfrm>
          <a:off x="4626256" y="1673990"/>
          <a:ext cx="4051925" cy="4013092"/>
          <a:chOff x="4628454" y="1675455"/>
          <a:chExt cx="4026281" cy="4026281"/>
        </a:xfrm>
        <a:scene3d>
          <a:camera prst="orthographicFront">
            <a:rot lat="1200000" lon="1200000" rev="0"/>
          </a:camera>
          <a:lightRig rig="threePt" dir="t">
            <a:rot lat="0" lon="0" rev="0"/>
          </a:lightRig>
        </a:scene3d>
      </xdr:grpSpPr>
      <xdr:grpSp>
        <xdr:nvGrpSpPr>
          <xdr:cNvPr id="12" name="Groupe">
            <a:extLst>
              <a:ext uri="{FF2B5EF4-FFF2-40B4-BE49-F238E27FC236}">
                <a16:creationId xmlns:a16="http://schemas.microsoft.com/office/drawing/2014/main" id="{145289B6-A814-4FC8-B4F6-70139D9B98D1}"/>
              </a:ext>
            </a:extLst>
          </xdr:cNvPr>
          <xdr:cNvGrpSpPr/>
        </xdr:nvGrpSpPr>
        <xdr:grpSpPr>
          <a:xfrm>
            <a:off x="4706432" y="1758258"/>
            <a:ext cx="3860801" cy="3851460"/>
            <a:chOff x="4708019" y="1764793"/>
            <a:chExt cx="3860801" cy="3860800"/>
          </a:xfrm>
        </xdr:grpSpPr>
        <xdr:grpSp>
          <xdr:nvGrpSpPr>
            <xdr:cNvPr id="9" name="Groupe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pSpPr/>
          </xdr:nvGrpSpPr>
          <xdr:grpSpPr>
            <a:xfrm>
              <a:off x="4720719" y="1777493"/>
              <a:ext cx="3848101" cy="3848100"/>
              <a:chOff x="4965696" y="2012908"/>
              <a:chExt cx="5243286" cy="5309286"/>
            </a:xfrm>
          </xdr:grpSpPr>
          <xdr:sp macro="" textlink="">
            <xdr:nvSpPr>
              <xdr:cNvPr id="2" name="Secteur 0">
                <a:extLs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>
                <a:spLocks/>
              </xdr:cNvSpPr>
            </xdr:nvSpPr>
            <xdr:spPr>
              <a:xfrm>
                <a:off x="4965696" y="2012908"/>
                <a:ext cx="5243286" cy="5309286"/>
              </a:xfrm>
              <a:prstGeom prst="blockArc">
                <a:avLst>
                  <a:gd name="adj1" fmla="val 0"/>
                  <a:gd name="adj2" fmla="val 0"/>
                  <a:gd name="adj3" fmla="val 6931"/>
                </a:avLst>
              </a:prstGeom>
              <a:solidFill>
                <a:srgbClr val="FFFF00"/>
              </a:solidFill>
              <a:ln w="3175">
                <a:noFill/>
              </a:ln>
              <a:effectLst/>
              <a:sp3d extrusionH="3873500" prstMaterial="clear">
                <a:bevelT w="25400" h="25400"/>
                <a:bevelB w="25400" h="25400" prst="coolSlant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t"/>
              <a:lstStyle/>
              <a:p>
                <a:pPr algn="l"/>
                <a:endParaRPr lang="fr-FR" sz="1100">
                  <a:solidFill>
                    <a:sysClr val="windowText" lastClr="000000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xdr:txBody>
          </xdr:sp>
          <xdr:sp macro="" textlink="">
            <xdr:nvSpPr>
              <xdr:cNvPr id="80" name="Ligne" hidden="1">
                <a:extLst>
                  <a:ext uri="{FF2B5EF4-FFF2-40B4-BE49-F238E27FC236}">
                    <a16:creationId xmlns:a16="http://schemas.microsoft.com/office/drawing/2014/main" id="{00000000-0008-0000-0000-000050000000}"/>
                  </a:ext>
                </a:extLst>
              </xdr:cNvPr>
              <xdr:cNvSpPr>
                <a:spLocks/>
              </xdr:cNvSpPr>
            </xdr:nvSpPr>
            <xdr:spPr>
              <a:xfrm>
                <a:off x="4965701" y="2012951"/>
                <a:ext cx="4590796" cy="4590552"/>
              </a:xfrm>
              <a:prstGeom prst="blockArc">
                <a:avLst>
                  <a:gd name="adj1" fmla="val 0"/>
                  <a:gd name="adj2" fmla="val 19825"/>
                  <a:gd name="adj3" fmla="val 7231"/>
                </a:avLst>
              </a:prstGeom>
              <a:solidFill>
                <a:srgbClr val="FFFF00"/>
              </a:solidFill>
              <a:ln w="3175">
                <a:noFill/>
                <a:prstDash val="sysDot"/>
              </a:ln>
              <a:effectLst>
                <a:outerShdw blurRad="977900" dist="292100" dir="2700000" algn="tl" rotWithShape="0">
                  <a:prstClr val="black">
                    <a:alpha val="40000"/>
                  </a:prstClr>
                </a:outerShdw>
              </a:effectLst>
              <a:sp3d extrusionH="3873500" prstMaterial="clear">
                <a:bevelT w="25400" h="25400"/>
                <a:bevelB w="25400" h="25400" prst="coolSlant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t"/>
              <a:lstStyle/>
              <a:p>
                <a:pPr algn="l"/>
                <a:r>
                  <a:rPr lang="fr-FR" sz="1100">
                    <a:solidFill>
                      <a:sysClr val="windowText" lastClr="000000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1</a:t>
                </a:r>
              </a:p>
            </xdr:txBody>
          </xdr:sp>
        </xdr:grpSp>
        <xdr:sp macro="" textlink="">
          <xdr:nvSpPr>
            <xdr:cNvPr id="60" name="Secteur 1">
              <a:extLst>
                <a:ext uri="{FF2B5EF4-FFF2-40B4-BE49-F238E27FC236}">
                  <a16:creationId xmlns:a16="http://schemas.microsoft.com/office/drawing/2014/main" id="{15D29913-80C3-47A3-A41C-ECE2AC194F9A}"/>
                </a:ext>
              </a:extLst>
            </xdr:cNvPr>
            <xdr:cNvSpPr>
              <a:spLocks/>
            </xdr:cNvSpPr>
          </xdr:nvSpPr>
          <xdr:spPr>
            <a:xfrm>
              <a:off x="4708019" y="1764793"/>
              <a:ext cx="3848101" cy="3848100"/>
            </a:xfrm>
            <a:prstGeom prst="blockArc">
              <a:avLst>
                <a:gd name="adj1" fmla="val 14870288"/>
                <a:gd name="adj2" fmla="val 15369712"/>
                <a:gd name="adj3" fmla="val 7917"/>
              </a:avLst>
            </a:prstGeom>
            <a:solidFill>
              <a:srgbClr val="0028FF"/>
            </a:solidFill>
            <a:ln w="3175">
              <a:noFill/>
            </a:ln>
            <a:effectLst/>
            <a:sp3d z="-482600" extrusionH="237363" prstMaterial="clear">
              <a:bevelT w="25400" h="25400"/>
              <a:bevelB w="25400" h="25400" prst="coolSlan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l"/>
              <a:endParaRPr lang="fr-FR" sz="1100">
                <a:solidFill>
                  <a:sysClr val="windowText" lastClr="00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xdr:grpSp>
      <xdr:sp macro="" textlink="">
        <xdr:nvSpPr>
          <xdr:cNvPr id="64" name="Secteur 2">
            <a:extLst>
              <a:ext uri="{FF2B5EF4-FFF2-40B4-BE49-F238E27FC236}">
                <a16:creationId xmlns:a16="http://schemas.microsoft.com/office/drawing/2014/main" id="{74CB3D77-1A0B-4D76-857E-AF1B2CB30AF9}"/>
              </a:ext>
            </a:extLst>
          </xdr:cNvPr>
          <xdr:cNvSpPr>
            <a:spLocks/>
          </xdr:cNvSpPr>
        </xdr:nvSpPr>
        <xdr:spPr>
          <a:xfrm>
            <a:off x="4628454" y="1675455"/>
            <a:ext cx="4026281" cy="4026281"/>
          </a:xfrm>
          <a:prstGeom prst="blockArc">
            <a:avLst>
              <a:gd name="adj1" fmla="val 17655634"/>
              <a:gd name="adj2" fmla="val 19784366"/>
              <a:gd name="adj3" fmla="val 2481"/>
            </a:avLst>
          </a:prstGeom>
          <a:solidFill>
            <a:srgbClr val="FF6F63"/>
          </a:solidFill>
          <a:ln w="3175">
            <a:noFill/>
          </a:ln>
          <a:effectLst/>
          <a:sp3d extrusionH="2428748" prstMaterial="clear">
            <a:bevelT w="25400" h="25400"/>
            <a:bevelB w="25400" h="254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l"/>
            <a:endParaRPr lang="fr-FR" sz="1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</xdr:grpSp>
    <xdr:clientData/>
  </xdr:twoCellAnchor>
  <xdr:twoCellAnchor>
    <xdr:from>
      <xdr:col>6</xdr:col>
      <xdr:colOff>841374</xdr:colOff>
      <xdr:row>6</xdr:row>
      <xdr:rowOff>79374</xdr:rowOff>
    </xdr:from>
    <xdr:to>
      <xdr:col>14</xdr:col>
      <xdr:colOff>565149</xdr:colOff>
      <xdr:row>32</xdr:row>
      <xdr:rowOff>60324</xdr:rowOff>
    </xdr:to>
    <xdr:grpSp>
      <xdr:nvGrpSpPr>
        <xdr:cNvPr id="24" name="Légend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09182" y="1163759"/>
          <a:ext cx="5013813" cy="4977911"/>
          <a:chOff x="4394200" y="1441449"/>
          <a:chExt cx="4953000" cy="4953000"/>
        </a:xfrm>
        <a:scene3d>
          <a:camera prst="orthographicFront">
            <a:rot lat="1200000" lon="1200000" rev="0"/>
          </a:camera>
          <a:lightRig rig="threePt" dir="t"/>
        </a:scene3d>
      </xdr:grpSpPr>
      <xdr:sp macro="" textlink="">
        <xdr:nvSpPr>
          <xdr:cNvPr id="4" name="LDR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809127" y="3655700"/>
            <a:ext cx="538073" cy="528331"/>
          </a:xfrm>
          <a:prstGeom prst="rect">
            <a:avLst/>
          </a:prstGeom>
          <a:noFill/>
          <a:ln w="0">
            <a:noFill/>
          </a:ln>
          <a:sp3d prstMaterial="clear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fr-FR" sz="1000" b="0" cap="none" spc="0">
                <a:ln>
                  <a:noFill/>
                </a:ln>
                <a:solidFill>
                  <a:schemeClr val="tx1"/>
                </a:solidFill>
                <a:effectLst/>
                <a:latin typeface="+mn-lt"/>
              </a:rPr>
              <a:t>0°</a:t>
            </a:r>
          </a:p>
        </xdr:txBody>
      </xdr:sp>
      <xdr:sp macro="" textlink="">
        <xdr:nvSpPr>
          <xdr:cNvPr id="7" name="Ba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6631706" y="6056586"/>
            <a:ext cx="474772" cy="337863"/>
          </a:xfrm>
          <a:prstGeom prst="rect">
            <a:avLst/>
          </a:prstGeom>
          <a:noFill/>
          <a:ln w="0">
            <a:noFill/>
          </a:ln>
          <a:sp3d prstMaterial="clear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fr-FR" sz="1000" b="0" cap="none" spc="0">
                <a:ln>
                  <a:noFill/>
                </a:ln>
                <a:solidFill>
                  <a:schemeClr val="tx1"/>
                </a:solidFill>
                <a:effectLst/>
                <a:latin typeface="+mn-lt"/>
              </a:rPr>
              <a:t>270°</a:t>
            </a:r>
          </a:p>
        </xdr:txBody>
      </xdr:sp>
      <xdr:sp macro="" textlink="">
        <xdr:nvSpPr>
          <xdr:cNvPr id="18" name="LDR_txt" hidden="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756365" y="3905250"/>
            <a:ext cx="40741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900" i="1"/>
              <a:t>LDR</a:t>
            </a:r>
          </a:p>
        </xdr:txBody>
      </xdr:sp>
      <xdr:sp macro="" textlink="">
        <xdr:nvSpPr>
          <xdr:cNvPr id="6" name="Hau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6532708" y="1441449"/>
            <a:ext cx="680506" cy="316997"/>
          </a:xfrm>
          <a:prstGeom prst="rect">
            <a:avLst/>
          </a:prstGeom>
          <a:noFill/>
          <a:ln w="0">
            <a:noFill/>
          </a:ln>
          <a:sp3d prstMaterial="clear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000" b="0" cap="none" spc="0">
                <a:ln>
                  <a:noFill/>
                </a:ln>
                <a:solidFill>
                  <a:schemeClr val="tx1"/>
                </a:solidFill>
                <a:effectLst/>
                <a:latin typeface="+mn-lt"/>
              </a:rPr>
              <a:t>90° </a:t>
            </a:r>
          </a:p>
        </xdr:txBody>
      </xdr: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 flipH="1">
            <a:off x="6863838" y="1753132"/>
            <a:ext cx="9240" cy="432000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necteur droit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 flipH="1">
            <a:off x="4752993" y="3923005"/>
            <a:ext cx="419104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Inj.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394200" y="3720866"/>
            <a:ext cx="443120" cy="401531"/>
          </a:xfrm>
          <a:prstGeom prst="rect">
            <a:avLst/>
          </a:prstGeom>
          <a:noFill/>
          <a:ln w="0">
            <a:noFill/>
          </a:ln>
          <a:sp3d prstMaterial="clear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fr-FR" sz="1000" b="0" cap="none" spc="0">
                <a:ln>
                  <a:noFill/>
                </a:ln>
                <a:solidFill>
                  <a:schemeClr val="tx1"/>
                </a:solidFill>
                <a:effectLst/>
                <a:latin typeface="+mn-lt"/>
              </a:rPr>
              <a:t>180° 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30-SharedDirectories\PED\Labo\PoleMateriaux\Fiches%20Labo\Polym&#232;re\2016\16.386%20Expertise%20GP-GSC%20du%20bi-gaine%20gammaflex%20Libra\Epaisseur%20circonf&#233;rencielle%20(8%20points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sheetDataSet>
      <sheetData sheetId="0">
        <row r="3">
          <cell r="C3" t="str">
            <v>Haut</v>
          </cell>
          <cell r="D3">
            <v>0</v>
          </cell>
          <cell r="E3" t="str">
            <v>LDR</v>
          </cell>
          <cell r="F3">
            <v>0</v>
          </cell>
          <cell r="G3" t="str">
            <v>Bas</v>
          </cell>
          <cell r="H3">
            <v>0</v>
          </cell>
          <cell r="I3" t="str">
            <v>Inj</v>
          </cell>
          <cell r="J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K305"/>
  <sheetViews>
    <sheetView showGridLines="0" tabSelected="1" topLeftCell="G7" zoomScale="130" zoomScaleNormal="130" workbookViewId="0">
      <selection activeCell="T5" sqref="T5"/>
    </sheetView>
  </sheetViews>
  <sheetFormatPr baseColWidth="10" defaultRowHeight="15" x14ac:dyDescent="0.25"/>
  <cols>
    <col min="1" max="1" width="0.5703125" style="1" customWidth="1"/>
    <col min="2" max="3" width="11.5703125" style="1" customWidth="1"/>
    <col min="4" max="4" width="1.7109375" style="1" customWidth="1"/>
    <col min="5" max="5" width="12.7109375" style="23" customWidth="1"/>
    <col min="6" max="6" width="10.85546875" style="21" customWidth="1"/>
    <col min="7" max="7" width="14" style="21" customWidth="1"/>
    <col min="8" max="15" width="9.28515625" style="21" customWidth="1"/>
    <col min="16" max="16" width="12.7109375" style="21" customWidth="1"/>
    <col min="17" max="17" width="14.7109375" style="21" customWidth="1"/>
    <col min="18" max="18" width="12.42578125" style="27" customWidth="1"/>
    <col min="19" max="19" width="8.28515625" style="1" customWidth="1"/>
    <col min="20" max="20" width="5.140625" style="1" customWidth="1"/>
    <col min="21" max="26" width="7.7109375" style="1" customWidth="1"/>
    <col min="27" max="27" width="9.85546875" style="1" bestFit="1" customWidth="1"/>
    <col min="28" max="28" width="20.5703125" style="1" customWidth="1"/>
    <col min="29" max="31" width="7.7109375" style="1" customWidth="1"/>
    <col min="32" max="32" width="12" style="1" bestFit="1" customWidth="1"/>
    <col min="33" max="36" width="11.42578125" style="1"/>
    <col min="37" max="37" width="1.85546875" style="1" customWidth="1"/>
    <col min="38" max="16384" width="11.42578125" style="1"/>
  </cols>
  <sheetData>
    <row r="1" spans="2:37" ht="7.5" customHeight="1" thickBot="1" x14ac:dyDescent="0.3">
      <c r="B1" s="187"/>
      <c r="C1" s="187"/>
      <c r="D1" s="2"/>
      <c r="E1" s="22"/>
      <c r="Q1" s="24"/>
      <c r="R1" s="25"/>
      <c r="S1" s="10"/>
      <c r="T1" s="62">
        <v>20</v>
      </c>
      <c r="U1" s="62">
        <v>21</v>
      </c>
      <c r="V1" s="62">
        <v>22</v>
      </c>
      <c r="W1" s="62">
        <v>23</v>
      </c>
      <c r="X1" s="62">
        <v>24</v>
      </c>
      <c r="Y1" s="62">
        <v>25</v>
      </c>
      <c r="Z1" s="62">
        <v>26</v>
      </c>
      <c r="AA1" s="62">
        <v>27</v>
      </c>
      <c r="AB1" s="62">
        <v>28</v>
      </c>
      <c r="AC1" s="62">
        <v>29</v>
      </c>
      <c r="AD1" s="62">
        <v>30</v>
      </c>
      <c r="AE1" s="62">
        <v>31</v>
      </c>
      <c r="AF1" s="62">
        <v>32</v>
      </c>
      <c r="AG1" s="62">
        <v>33</v>
      </c>
      <c r="AH1" s="62">
        <v>34</v>
      </c>
      <c r="AI1" s="62">
        <v>35</v>
      </c>
      <c r="AJ1" s="62">
        <v>36</v>
      </c>
      <c r="AK1" s="62"/>
    </row>
    <row r="2" spans="2:37" ht="15.75" customHeight="1" thickBot="1" x14ac:dyDescent="0.3">
      <c r="B2" s="187"/>
      <c r="C2" s="187"/>
      <c r="D2" s="3"/>
      <c r="E2" s="22"/>
      <c r="F2" s="84" t="s">
        <v>65</v>
      </c>
      <c r="G2" s="141" t="s">
        <v>67</v>
      </c>
      <c r="H2" s="142"/>
      <c r="I2" s="142"/>
      <c r="J2" s="142"/>
      <c r="K2" s="143"/>
      <c r="L2" s="141" t="s">
        <v>70</v>
      </c>
      <c r="M2" s="142"/>
      <c r="N2" s="142"/>
      <c r="O2" s="143"/>
      <c r="P2" s="85" t="s">
        <v>68</v>
      </c>
      <c r="Q2" s="86" t="s">
        <v>66</v>
      </c>
      <c r="R2" s="26"/>
      <c r="S2" s="150" t="s">
        <v>72</v>
      </c>
      <c r="T2" s="151"/>
      <c r="U2" s="151"/>
      <c r="V2" s="151"/>
      <c r="W2" s="151"/>
      <c r="X2" s="151"/>
      <c r="Y2" s="151"/>
      <c r="Z2" s="151"/>
      <c r="AA2" s="151"/>
      <c r="AB2" s="152"/>
      <c r="AC2" s="147" t="s">
        <v>64</v>
      </c>
      <c r="AD2" s="148"/>
      <c r="AE2" s="148"/>
      <c r="AF2" s="148"/>
      <c r="AG2" s="148"/>
      <c r="AH2" s="148"/>
      <c r="AI2" s="148"/>
      <c r="AJ2" s="149"/>
    </row>
    <row r="3" spans="2:37" ht="16.5" thickTop="1" thickBot="1" x14ac:dyDescent="0.3">
      <c r="B3" s="188"/>
      <c r="C3" s="188"/>
      <c r="D3" s="2"/>
      <c r="E3" s="22"/>
      <c r="F3" s="88"/>
      <c r="G3" s="144"/>
      <c r="H3" s="145"/>
      <c r="I3" s="145"/>
      <c r="J3" s="145"/>
      <c r="K3" s="146"/>
      <c r="L3" s="144"/>
      <c r="M3" s="145"/>
      <c r="N3" s="145"/>
      <c r="O3" s="146"/>
      <c r="P3" s="89"/>
      <c r="Q3" s="90"/>
      <c r="R3" s="26"/>
      <c r="S3" s="153"/>
      <c r="T3" s="154"/>
      <c r="U3" s="154"/>
      <c r="V3" s="154"/>
      <c r="W3" s="154"/>
      <c r="X3" s="154"/>
      <c r="Y3" s="154"/>
      <c r="Z3" s="154"/>
      <c r="AA3" s="154"/>
      <c r="AB3" s="155"/>
      <c r="AC3" s="162" t="s">
        <v>25</v>
      </c>
      <c r="AD3" s="163"/>
      <c r="AE3" s="164"/>
      <c r="AF3" s="162" t="s">
        <v>44</v>
      </c>
      <c r="AG3" s="164"/>
      <c r="AH3" s="32">
        <f>COUNTIF(AH6:AH15,"VRAI")</f>
        <v>2</v>
      </c>
      <c r="AI3" s="68">
        <f>COUNTIF(AI6:AI15,"VRAI")</f>
        <v>2</v>
      </c>
      <c r="AJ3" s="68"/>
    </row>
    <row r="4" spans="2:37" x14ac:dyDescent="0.25">
      <c r="B4" s="184" t="s">
        <v>21</v>
      </c>
      <c r="C4" s="184"/>
      <c r="D4" s="2"/>
      <c r="E4" s="22"/>
      <c r="Q4" s="9"/>
      <c r="S4" s="82" t="s">
        <v>62</v>
      </c>
      <c r="T4" s="18" t="s">
        <v>18</v>
      </c>
      <c r="U4" s="16" t="s">
        <v>35</v>
      </c>
      <c r="V4" s="14" t="s">
        <v>34</v>
      </c>
      <c r="W4" s="15" t="s">
        <v>33</v>
      </c>
      <c r="X4" s="14" t="s">
        <v>22</v>
      </c>
      <c r="Y4" s="14" t="s">
        <v>23</v>
      </c>
      <c r="Z4" s="16" t="s">
        <v>31</v>
      </c>
      <c r="AA4" s="18" t="s">
        <v>43</v>
      </c>
      <c r="AB4" s="20" t="s">
        <v>41</v>
      </c>
      <c r="AC4" s="69" t="s">
        <v>26</v>
      </c>
      <c r="AD4" s="70" t="s">
        <v>27</v>
      </c>
      <c r="AE4" s="71" t="s">
        <v>28</v>
      </c>
      <c r="AF4" s="28" t="s">
        <v>46</v>
      </c>
      <c r="AG4" s="29" t="s">
        <v>45</v>
      </c>
      <c r="AH4" s="63" t="s">
        <v>30</v>
      </c>
      <c r="AI4" s="29" t="s">
        <v>32</v>
      </c>
      <c r="AJ4" s="29" t="s">
        <v>47</v>
      </c>
    </row>
    <row r="5" spans="2:37" ht="15" customHeight="1" thickBot="1" x14ac:dyDescent="0.3">
      <c r="B5" s="181">
        <v>303</v>
      </c>
      <c r="C5" s="181"/>
      <c r="D5" s="2"/>
      <c r="E5" s="22"/>
      <c r="P5" s="9"/>
      <c r="Q5" s="9"/>
      <c r="S5" s="83" t="s">
        <v>63</v>
      </c>
      <c r="T5" s="42">
        <v>2</v>
      </c>
      <c r="U5" s="17">
        <v>300</v>
      </c>
      <c r="V5" s="11" t="s">
        <v>19</v>
      </c>
      <c r="W5" s="12" t="s">
        <v>19</v>
      </c>
      <c r="X5" s="11" t="s">
        <v>19</v>
      </c>
      <c r="Y5" s="11" t="s">
        <v>19</v>
      </c>
      <c r="Z5" s="17" t="s">
        <v>19</v>
      </c>
      <c r="AA5" s="80" t="s">
        <v>24</v>
      </c>
      <c r="AB5" s="19" t="s">
        <v>42</v>
      </c>
      <c r="AC5" s="43"/>
      <c r="AD5" s="30"/>
      <c r="AE5" s="31"/>
      <c r="AF5" s="53" t="s">
        <v>24</v>
      </c>
      <c r="AG5" s="54" t="s">
        <v>24</v>
      </c>
      <c r="AH5" s="64" t="s">
        <v>29</v>
      </c>
      <c r="AI5" s="31" t="s">
        <v>29</v>
      </c>
      <c r="AJ5" s="31" t="s">
        <v>48</v>
      </c>
    </row>
    <row r="6" spans="2:37" ht="15.75" thickTop="1" x14ac:dyDescent="0.25">
      <c r="B6" s="184" t="s">
        <v>20</v>
      </c>
      <c r="C6" s="184"/>
      <c r="D6" s="2"/>
      <c r="E6" s="22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S6" s="72">
        <f>$S$32+(Z6/1000)</f>
        <v>3.7999999999999999E-2</v>
      </c>
      <c r="T6" s="33">
        <v>1</v>
      </c>
      <c r="U6" s="35">
        <v>18.690000000000001</v>
      </c>
      <c r="V6" s="36">
        <v>22.3</v>
      </c>
      <c r="W6" s="34">
        <v>23.830000000000002</v>
      </c>
      <c r="X6" s="36">
        <v>-2</v>
      </c>
      <c r="Y6" s="36">
        <f>$B$35-X6-W6</f>
        <v>-0.83000000000000185</v>
      </c>
      <c r="Z6" s="35">
        <v>38</v>
      </c>
      <c r="AA6" s="72">
        <v>108</v>
      </c>
      <c r="AB6" s="87" t="s">
        <v>98</v>
      </c>
      <c r="AC6" s="44">
        <v>0</v>
      </c>
      <c r="AD6" s="45">
        <v>40</v>
      </c>
      <c r="AE6" s="46">
        <v>255</v>
      </c>
      <c r="AF6" s="44">
        <f>AA6+$AG$16/2</f>
        <v>125.73943514798205</v>
      </c>
      <c r="AG6" s="46">
        <f t="shared" ref="AG6:AG15" si="0">AA6-$AG$16/2</f>
        <v>90.26056485201795</v>
      </c>
      <c r="AH6" s="65" t="b">
        <v>1</v>
      </c>
      <c r="AI6" s="46" t="b">
        <v>1</v>
      </c>
      <c r="AJ6" s="46">
        <v>8</v>
      </c>
    </row>
    <row r="7" spans="2:37" x14ac:dyDescent="0.25">
      <c r="B7" s="181">
        <v>305</v>
      </c>
      <c r="C7" s="181"/>
      <c r="D7" s="2"/>
      <c r="E7" s="22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S7" s="72">
        <f t="shared" ref="S7:S15" si="1">$S$32+(Z7/1000)</f>
        <v>0</v>
      </c>
      <c r="T7" s="33">
        <v>2</v>
      </c>
      <c r="U7" s="35">
        <v>191.24</v>
      </c>
      <c r="V7" s="36">
        <v>102.5</v>
      </c>
      <c r="W7" s="34">
        <v>7.17</v>
      </c>
      <c r="X7" s="36">
        <v>-14.030000000000001</v>
      </c>
      <c r="Y7" s="36">
        <f t="shared" ref="Y7:Y15" si="2">$B$35-X7-W7</f>
        <v>27.86</v>
      </c>
      <c r="Z7" s="35">
        <v>0</v>
      </c>
      <c r="AA7" s="72">
        <v>48</v>
      </c>
      <c r="AB7" s="87" t="s">
        <v>99</v>
      </c>
      <c r="AC7" s="47">
        <v>255</v>
      </c>
      <c r="AD7" s="48">
        <v>111</v>
      </c>
      <c r="AE7" s="49">
        <v>99</v>
      </c>
      <c r="AF7" s="44">
        <f t="shared" ref="AF7:AF15" si="3">AA7+$AG$16/2</f>
        <v>65.73943514798205</v>
      </c>
      <c r="AG7" s="46">
        <f t="shared" si="0"/>
        <v>30.26056485201795</v>
      </c>
      <c r="AH7" s="65" t="b">
        <v>1</v>
      </c>
      <c r="AI7" s="46" t="b">
        <v>1</v>
      </c>
      <c r="AJ7" s="46">
        <v>8</v>
      </c>
    </row>
    <row r="8" spans="2:37" x14ac:dyDescent="0.25">
      <c r="D8" s="2"/>
      <c r="E8" s="22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S8" s="72">
        <f t="shared" si="1"/>
        <v>0</v>
      </c>
      <c r="T8" s="33">
        <v>3</v>
      </c>
      <c r="U8" s="35">
        <v>400</v>
      </c>
      <c r="V8" s="36">
        <v>234</v>
      </c>
      <c r="W8" s="34">
        <v>15</v>
      </c>
      <c r="X8" s="36">
        <v>-14</v>
      </c>
      <c r="Y8" s="36">
        <f t="shared" si="2"/>
        <v>20</v>
      </c>
      <c r="Z8" s="35">
        <v>0</v>
      </c>
      <c r="AA8" s="72">
        <v>225</v>
      </c>
      <c r="AB8" s="87" t="s">
        <v>100</v>
      </c>
      <c r="AC8" s="47">
        <v>200</v>
      </c>
      <c r="AD8" s="48">
        <v>200</v>
      </c>
      <c r="AE8" s="49">
        <v>200</v>
      </c>
      <c r="AF8" s="44">
        <f t="shared" si="3"/>
        <v>242.73943514798205</v>
      </c>
      <c r="AG8" s="46">
        <f t="shared" si="0"/>
        <v>207.26056485201795</v>
      </c>
      <c r="AH8" s="65" t="b">
        <v>0</v>
      </c>
      <c r="AI8" s="46" t="b">
        <v>0</v>
      </c>
      <c r="AJ8" s="46">
        <v>8</v>
      </c>
    </row>
    <row r="9" spans="2:37" x14ac:dyDescent="0.25">
      <c r="B9" s="184" t="s">
        <v>61</v>
      </c>
      <c r="C9" s="184"/>
      <c r="D9" s="184"/>
      <c r="E9" s="22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S9" s="72">
        <f t="shared" si="1"/>
        <v>0</v>
      </c>
      <c r="T9" s="33">
        <v>4</v>
      </c>
      <c r="U9" s="35">
        <v>400</v>
      </c>
      <c r="V9" s="36">
        <v>173</v>
      </c>
      <c r="W9" s="34">
        <v>15</v>
      </c>
      <c r="X9" s="36">
        <v>-14</v>
      </c>
      <c r="Y9" s="36">
        <f t="shared" si="2"/>
        <v>20</v>
      </c>
      <c r="Z9" s="35">
        <v>0</v>
      </c>
      <c r="AA9" s="72">
        <v>303</v>
      </c>
      <c r="AB9" s="87" t="s">
        <v>101</v>
      </c>
      <c r="AC9" s="47">
        <v>200</v>
      </c>
      <c r="AD9" s="48">
        <v>200</v>
      </c>
      <c r="AE9" s="49">
        <v>200</v>
      </c>
      <c r="AF9" s="44">
        <f t="shared" si="3"/>
        <v>320.73943514798202</v>
      </c>
      <c r="AG9" s="46">
        <f t="shared" si="0"/>
        <v>285.26056485201798</v>
      </c>
      <c r="AH9" s="65" t="b">
        <v>0</v>
      </c>
      <c r="AI9" s="46" t="b">
        <v>0</v>
      </c>
      <c r="AJ9" s="46">
        <v>8</v>
      </c>
    </row>
    <row r="10" spans="2:37" x14ac:dyDescent="0.25">
      <c r="B10" s="181">
        <v>340</v>
      </c>
      <c r="C10" s="181"/>
      <c r="D10" s="108" t="s">
        <v>79</v>
      </c>
      <c r="E10" s="22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S10" s="72">
        <f t="shared" si="1"/>
        <v>1E-3</v>
      </c>
      <c r="T10" s="33">
        <v>5</v>
      </c>
      <c r="U10" s="35">
        <v>230</v>
      </c>
      <c r="V10" s="36">
        <v>25</v>
      </c>
      <c r="W10" s="34">
        <v>15</v>
      </c>
      <c r="X10" s="36">
        <v>-34</v>
      </c>
      <c r="Y10" s="36">
        <f t="shared" si="2"/>
        <v>40</v>
      </c>
      <c r="Z10" s="35">
        <v>1</v>
      </c>
      <c r="AA10" s="72">
        <v>345</v>
      </c>
      <c r="AB10" s="87" t="s">
        <v>103</v>
      </c>
      <c r="AC10" s="47">
        <v>255</v>
      </c>
      <c r="AD10" s="48">
        <v>255</v>
      </c>
      <c r="AE10" s="49"/>
      <c r="AF10" s="44">
        <f t="shared" si="3"/>
        <v>362.73943514798202</v>
      </c>
      <c r="AG10" s="46">
        <f t="shared" si="0"/>
        <v>327.26056485201798</v>
      </c>
      <c r="AH10" s="65" t="b">
        <v>0</v>
      </c>
      <c r="AI10" s="46" t="b">
        <v>0</v>
      </c>
      <c r="AJ10" s="46">
        <v>8</v>
      </c>
    </row>
    <row r="11" spans="2:37" x14ac:dyDescent="0.25">
      <c r="B11" s="181">
        <v>20</v>
      </c>
      <c r="C11" s="181"/>
      <c r="D11" s="108" t="s">
        <v>80</v>
      </c>
      <c r="E11" s="22"/>
      <c r="F11" s="9"/>
      <c r="H11" s="9"/>
      <c r="I11" s="9"/>
      <c r="J11" s="9"/>
      <c r="K11" s="9"/>
      <c r="L11" s="9"/>
      <c r="M11" s="9"/>
      <c r="N11" s="9"/>
      <c r="O11" s="9"/>
      <c r="P11" s="9"/>
      <c r="Q11" s="9"/>
      <c r="S11" s="72">
        <f t="shared" si="1"/>
        <v>0.17</v>
      </c>
      <c r="T11" s="33">
        <v>6</v>
      </c>
      <c r="U11" s="35">
        <v>230</v>
      </c>
      <c r="V11" s="36">
        <v>25</v>
      </c>
      <c r="W11" s="34">
        <v>15</v>
      </c>
      <c r="X11" s="36">
        <v>-34</v>
      </c>
      <c r="Y11" s="36">
        <f t="shared" si="2"/>
        <v>40</v>
      </c>
      <c r="Z11" s="35">
        <v>170</v>
      </c>
      <c r="AA11" s="72">
        <v>329</v>
      </c>
      <c r="AB11" s="87" t="s">
        <v>102</v>
      </c>
      <c r="AC11" s="47">
        <v>255</v>
      </c>
      <c r="AD11" s="48">
        <v>255</v>
      </c>
      <c r="AE11" s="49"/>
      <c r="AF11" s="44">
        <f t="shared" si="3"/>
        <v>346.73943514798202</v>
      </c>
      <c r="AG11" s="46">
        <f t="shared" si="0"/>
        <v>311.26056485201798</v>
      </c>
      <c r="AH11" s="65" t="b">
        <v>0</v>
      </c>
      <c r="AI11" s="46" t="b">
        <v>0</v>
      </c>
      <c r="AJ11" s="46">
        <v>8</v>
      </c>
    </row>
    <row r="12" spans="2:37" x14ac:dyDescent="0.25">
      <c r="B12" s="181">
        <v>0</v>
      </c>
      <c r="C12" s="181"/>
      <c r="D12" s="108" t="s">
        <v>81</v>
      </c>
      <c r="E12" s="22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S12" s="72">
        <f t="shared" si="1"/>
        <v>1E-3</v>
      </c>
      <c r="T12" s="33">
        <v>7</v>
      </c>
      <c r="U12" s="35">
        <v>230</v>
      </c>
      <c r="V12" s="36">
        <v>25</v>
      </c>
      <c r="W12" s="34">
        <v>15</v>
      </c>
      <c r="X12" s="36">
        <v>-34</v>
      </c>
      <c r="Y12" s="36">
        <f t="shared" si="2"/>
        <v>40</v>
      </c>
      <c r="Z12" s="35">
        <v>1</v>
      </c>
      <c r="AA12" s="72">
        <v>99</v>
      </c>
      <c r="AB12" s="87" t="s">
        <v>104</v>
      </c>
      <c r="AC12" s="47">
        <v>255</v>
      </c>
      <c r="AD12" s="48"/>
      <c r="AE12" s="49"/>
      <c r="AF12" s="44">
        <f t="shared" si="3"/>
        <v>116.73943514798205</v>
      </c>
      <c r="AG12" s="46">
        <f t="shared" si="0"/>
        <v>81.26056485201795</v>
      </c>
      <c r="AH12" s="65" t="b">
        <v>0</v>
      </c>
      <c r="AI12" s="46" t="b">
        <v>0</v>
      </c>
      <c r="AJ12" s="46">
        <v>8</v>
      </c>
    </row>
    <row r="13" spans="2:37" x14ac:dyDescent="0.25">
      <c r="D13" s="2"/>
      <c r="E13" s="22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S13" s="72">
        <f t="shared" si="1"/>
        <v>0.17</v>
      </c>
      <c r="T13" s="33">
        <v>8</v>
      </c>
      <c r="U13" s="35">
        <v>230</v>
      </c>
      <c r="V13" s="36">
        <v>25</v>
      </c>
      <c r="W13" s="34">
        <v>15</v>
      </c>
      <c r="X13" s="36">
        <v>-35.200000000000003</v>
      </c>
      <c r="Y13" s="36">
        <f t="shared" si="2"/>
        <v>41.2</v>
      </c>
      <c r="Z13" s="35">
        <v>170</v>
      </c>
      <c r="AA13" s="72">
        <v>81</v>
      </c>
      <c r="AB13" s="87" t="s">
        <v>105</v>
      </c>
      <c r="AC13" s="47">
        <v>255</v>
      </c>
      <c r="AD13" s="48"/>
      <c r="AE13" s="49"/>
      <c r="AF13" s="44">
        <f t="shared" si="3"/>
        <v>98.73943514798205</v>
      </c>
      <c r="AG13" s="46">
        <f t="shared" si="0"/>
        <v>63.26056485201795</v>
      </c>
      <c r="AH13" s="65" t="b">
        <v>0</v>
      </c>
      <c r="AI13" s="46" t="b">
        <v>0</v>
      </c>
      <c r="AJ13" s="46">
        <v>8</v>
      </c>
    </row>
    <row r="14" spans="2:37" x14ac:dyDescent="0.25">
      <c r="B14" s="109" t="s">
        <v>73</v>
      </c>
      <c r="C14" s="186" t="s">
        <v>83</v>
      </c>
      <c r="D14" s="186"/>
      <c r="E14" s="2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S14" s="72">
        <f t="shared" si="1"/>
        <v>1E-3</v>
      </c>
      <c r="T14" s="33">
        <v>9</v>
      </c>
      <c r="U14" s="35">
        <v>230</v>
      </c>
      <c r="V14" s="36">
        <v>25</v>
      </c>
      <c r="W14" s="34">
        <v>15</v>
      </c>
      <c r="X14" s="36">
        <v>-34</v>
      </c>
      <c r="Y14" s="36">
        <f t="shared" si="2"/>
        <v>40</v>
      </c>
      <c r="Z14" s="35">
        <v>1</v>
      </c>
      <c r="AA14" s="72">
        <v>189</v>
      </c>
      <c r="AB14" s="87" t="s">
        <v>106</v>
      </c>
      <c r="AC14" s="47">
        <v>0</v>
      </c>
      <c r="AD14" s="48">
        <v>193</v>
      </c>
      <c r="AE14" s="49">
        <v>0</v>
      </c>
      <c r="AF14" s="44">
        <f t="shared" si="3"/>
        <v>206.73943514798205</v>
      </c>
      <c r="AG14" s="46">
        <f t="shared" si="0"/>
        <v>171.26056485201795</v>
      </c>
      <c r="AH14" s="65" t="b">
        <v>0</v>
      </c>
      <c r="AI14" s="46" t="b">
        <v>0</v>
      </c>
      <c r="AJ14" s="46">
        <v>8</v>
      </c>
    </row>
    <row r="15" spans="2:37" ht="15.75" thickBot="1" x14ac:dyDescent="0.3">
      <c r="B15" s="185" t="s">
        <v>74</v>
      </c>
      <c r="C15" s="185"/>
      <c r="D15" s="185"/>
      <c r="E15" s="22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S15" s="73">
        <f t="shared" si="1"/>
        <v>2E-3</v>
      </c>
      <c r="T15" s="37">
        <v>10</v>
      </c>
      <c r="U15" s="38">
        <v>230</v>
      </c>
      <c r="V15" s="39">
        <v>25</v>
      </c>
      <c r="W15" s="40">
        <v>15</v>
      </c>
      <c r="X15" s="39">
        <v>-34</v>
      </c>
      <c r="Y15" s="39">
        <f t="shared" si="2"/>
        <v>40</v>
      </c>
      <c r="Z15" s="38">
        <v>2</v>
      </c>
      <c r="AA15" s="73">
        <v>277</v>
      </c>
      <c r="AB15" s="87" t="s">
        <v>107</v>
      </c>
      <c r="AC15" s="50">
        <v>0</v>
      </c>
      <c r="AD15" s="51">
        <v>124</v>
      </c>
      <c r="AE15" s="52">
        <v>160</v>
      </c>
      <c r="AF15" s="50">
        <f t="shared" si="3"/>
        <v>294.73943514798202</v>
      </c>
      <c r="AG15" s="52">
        <f t="shared" si="0"/>
        <v>259.26056485201798</v>
      </c>
      <c r="AH15" s="66" t="b">
        <v>0</v>
      </c>
      <c r="AI15" s="67" t="b">
        <v>0</v>
      </c>
      <c r="AJ15" s="67">
        <v>8</v>
      </c>
    </row>
    <row r="16" spans="2:37" ht="15.75" thickBot="1" x14ac:dyDescent="0.3">
      <c r="B16" s="98" t="b">
        <v>0</v>
      </c>
      <c r="C16" s="99">
        <v>3</v>
      </c>
      <c r="D16" s="108" t="s">
        <v>79</v>
      </c>
      <c r="E16" s="22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6"/>
      <c r="S16" s="2"/>
      <c r="AF16" s="77" t="s">
        <v>50</v>
      </c>
      <c r="AG16" s="67">
        <f>DEGREES(Z24/((B5/2)-W22))</f>
        <v>35.4788702959641</v>
      </c>
    </row>
    <row r="17" spans="2:35" x14ac:dyDescent="0.25">
      <c r="B17" s="55" t="b">
        <v>0</v>
      </c>
      <c r="C17" s="97">
        <v>2</v>
      </c>
      <c r="D17" s="108" t="s">
        <v>80</v>
      </c>
      <c r="E17" s="22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6"/>
      <c r="S17" s="2"/>
      <c r="U17" s="169" t="s">
        <v>47</v>
      </c>
      <c r="V17" s="167"/>
      <c r="W17" s="168"/>
      <c r="X17" s="167" t="s">
        <v>25</v>
      </c>
      <c r="Y17" s="167"/>
      <c r="Z17" s="168"/>
      <c r="AF17" s="177" t="s">
        <v>49</v>
      </c>
      <c r="AG17" s="177"/>
    </row>
    <row r="18" spans="2:35" ht="15.75" customHeight="1" x14ac:dyDescent="0.25">
      <c r="B18" s="95"/>
      <c r="C18" s="96">
        <v>0</v>
      </c>
      <c r="D18" s="108" t="s">
        <v>81</v>
      </c>
      <c r="E18" s="2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6"/>
      <c r="S18" s="2"/>
      <c r="U18" s="170">
        <v>8</v>
      </c>
      <c r="V18" s="171"/>
      <c r="W18" s="172"/>
      <c r="X18" s="173">
        <v>255</v>
      </c>
      <c r="Y18" s="173"/>
      <c r="Z18" s="174"/>
    </row>
    <row r="19" spans="2:35" x14ac:dyDescent="0.25">
      <c r="D19" s="2"/>
      <c r="E19" s="22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6"/>
      <c r="S19" s="2"/>
      <c r="U19" s="169" t="s">
        <v>54</v>
      </c>
      <c r="V19" s="167"/>
      <c r="W19" s="168"/>
      <c r="X19" s="175">
        <v>111</v>
      </c>
      <c r="Y19" s="175"/>
      <c r="Z19" s="176"/>
    </row>
    <row r="20" spans="2:35" x14ac:dyDescent="0.25">
      <c r="B20" s="182" t="s">
        <v>17</v>
      </c>
      <c r="C20" s="183"/>
      <c r="D20" s="2"/>
      <c r="E20" s="22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6"/>
      <c r="S20" s="2"/>
      <c r="U20" s="55"/>
      <c r="V20" s="56"/>
      <c r="W20" s="57">
        <v>0</v>
      </c>
      <c r="X20" s="165">
        <v>99</v>
      </c>
      <c r="Y20" s="165"/>
      <c r="Z20" s="166"/>
    </row>
    <row r="21" spans="2:35" x14ac:dyDescent="0.25">
      <c r="B21" s="74">
        <v>13</v>
      </c>
      <c r="C21" s="8"/>
      <c r="D21" s="2"/>
      <c r="E21" s="22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6"/>
      <c r="S21" s="2"/>
      <c r="U21" s="169" t="s">
        <v>58</v>
      </c>
      <c r="V21" s="167"/>
      <c r="W21" s="168"/>
      <c r="X21" s="167" t="s">
        <v>55</v>
      </c>
      <c r="Y21" s="167"/>
      <c r="Z21" s="168"/>
    </row>
    <row r="22" spans="2:35" x14ac:dyDescent="0.25">
      <c r="B22" s="182" t="s">
        <v>1</v>
      </c>
      <c r="C22" s="183"/>
      <c r="D22" s="2"/>
      <c r="E22" s="22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6"/>
      <c r="S22" s="2"/>
      <c r="U22" s="59">
        <v>-140.30000000000001</v>
      </c>
      <c r="V22" s="58">
        <v>10</v>
      </c>
      <c r="W22" s="107">
        <f>U22/V22</f>
        <v>-14.030000000000001</v>
      </c>
      <c r="X22" s="56">
        <v>19124</v>
      </c>
      <c r="Y22" s="56">
        <v>100</v>
      </c>
      <c r="Z22" s="76">
        <f>X22/Y22</f>
        <v>191.24</v>
      </c>
    </row>
    <row r="23" spans="2:35" x14ac:dyDescent="0.25">
      <c r="B23" s="193">
        <v>0</v>
      </c>
      <c r="C23" s="194"/>
      <c r="D23" s="2"/>
      <c r="E23" s="22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6"/>
      <c r="S23" s="2"/>
      <c r="U23" s="169" t="s">
        <v>59</v>
      </c>
      <c r="V23" s="167"/>
      <c r="W23" s="168"/>
      <c r="X23" s="167" t="s">
        <v>56</v>
      </c>
      <c r="Y23" s="167"/>
      <c r="Z23" s="168"/>
    </row>
    <row r="24" spans="2:35" x14ac:dyDescent="0.25">
      <c r="D24" s="2"/>
      <c r="E24" s="22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6"/>
      <c r="S24" s="2"/>
      <c r="U24" s="59">
        <v>57338750.882196441</v>
      </c>
      <c r="V24" s="58">
        <f>($B$35-(U24/10)-W6)*10</f>
        <v>-57338779.182196446</v>
      </c>
      <c r="W24" s="107">
        <v>27.86</v>
      </c>
      <c r="X24" s="56">
        <v>1025</v>
      </c>
      <c r="Y24" s="56">
        <v>10</v>
      </c>
      <c r="Z24" s="76">
        <f>X24/Y24</f>
        <v>102.5</v>
      </c>
    </row>
    <row r="25" spans="2:35" x14ac:dyDescent="0.25">
      <c r="B25" s="180" t="s">
        <v>16</v>
      </c>
      <c r="C25" s="180"/>
      <c r="D25" s="180"/>
      <c r="E25" s="22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6"/>
      <c r="S25" s="2"/>
      <c r="U25" s="169" t="s">
        <v>60</v>
      </c>
      <c r="V25" s="167"/>
      <c r="W25" s="168"/>
      <c r="X25" s="167" t="s">
        <v>57</v>
      </c>
      <c r="Y25" s="167"/>
      <c r="Z25" s="168"/>
    </row>
    <row r="26" spans="2:35" ht="15" customHeight="1" x14ac:dyDescent="0.25">
      <c r="B26" s="178">
        <v>255</v>
      </c>
      <c r="C26" s="178"/>
      <c r="D26" s="108" t="s">
        <v>26</v>
      </c>
      <c r="E26" s="22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6"/>
      <c r="S26" s="2"/>
      <c r="U26" s="60">
        <v>90720</v>
      </c>
      <c r="V26" s="61">
        <v>1890</v>
      </c>
      <c r="W26" s="112">
        <v>48</v>
      </c>
      <c r="X26" s="56">
        <v>717</v>
      </c>
      <c r="Y26" s="56">
        <v>10</v>
      </c>
      <c r="Z26" s="76">
        <f>X26/Y26/10</f>
        <v>7.17</v>
      </c>
    </row>
    <row r="27" spans="2:35" ht="15.75" thickBot="1" x14ac:dyDescent="0.3">
      <c r="B27" s="179">
        <v>255</v>
      </c>
      <c r="C27" s="179"/>
      <c r="D27" s="108" t="s">
        <v>82</v>
      </c>
      <c r="E27" s="22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6"/>
      <c r="S27" s="2"/>
    </row>
    <row r="28" spans="2:35" ht="15.75" thickBot="1" x14ac:dyDescent="0.3">
      <c r="B28" s="192">
        <v>0</v>
      </c>
      <c r="C28" s="192"/>
      <c r="D28" s="108" t="s">
        <v>28</v>
      </c>
      <c r="E28" s="2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6"/>
      <c r="S28" s="156" t="s">
        <v>75</v>
      </c>
      <c r="T28" s="157"/>
      <c r="U28" s="157"/>
      <c r="V28" s="157"/>
      <c r="W28" s="157"/>
      <c r="X28" s="157"/>
      <c r="Y28" s="157"/>
      <c r="Z28" s="157"/>
      <c r="AA28" s="157"/>
      <c r="AB28" s="158"/>
      <c r="AC28" s="147" t="s">
        <v>64</v>
      </c>
      <c r="AD28" s="148"/>
      <c r="AE28" s="148"/>
      <c r="AF28" s="148"/>
      <c r="AG28" s="148"/>
      <c r="AH28" s="148"/>
      <c r="AI28" s="149"/>
    </row>
    <row r="29" spans="2:35" ht="15.75" thickBot="1" x14ac:dyDescent="0.3">
      <c r="C29" s="2"/>
      <c r="D29" s="2"/>
      <c r="E29" s="22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6"/>
      <c r="S29" s="159"/>
      <c r="T29" s="160"/>
      <c r="U29" s="160"/>
      <c r="V29" s="160"/>
      <c r="W29" s="160"/>
      <c r="X29" s="160"/>
      <c r="Y29" s="160"/>
      <c r="Z29" s="160"/>
      <c r="AA29" s="160"/>
      <c r="AB29" s="161"/>
      <c r="AC29" s="147" t="s">
        <v>25</v>
      </c>
      <c r="AD29" s="148"/>
      <c r="AE29" s="149"/>
      <c r="AF29" s="147" t="s">
        <v>77</v>
      </c>
      <c r="AG29" s="149"/>
      <c r="AH29" s="94"/>
      <c r="AI29" s="68">
        <f>COUNTIF(AI33:AI36,"VRAI")</f>
        <v>0</v>
      </c>
    </row>
    <row r="30" spans="2:35" ht="15" customHeight="1" x14ac:dyDescent="0.25">
      <c r="B30" s="180" t="s">
        <v>51</v>
      </c>
      <c r="C30" s="180"/>
      <c r="D30" s="2"/>
      <c r="E30" s="22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S30" s="18" t="s">
        <v>62</v>
      </c>
      <c r="T30" s="81" t="s">
        <v>18</v>
      </c>
      <c r="U30" s="13" t="s">
        <v>37</v>
      </c>
      <c r="V30" s="14" t="s">
        <v>36</v>
      </c>
      <c r="W30" s="16" t="s">
        <v>40</v>
      </c>
      <c r="X30" s="16" t="s">
        <v>38</v>
      </c>
      <c r="Y30" s="15" t="s">
        <v>39</v>
      </c>
      <c r="Z30" s="92" t="s">
        <v>71</v>
      </c>
      <c r="AA30" s="15" t="s">
        <v>69</v>
      </c>
      <c r="AB30" s="20" t="s">
        <v>41</v>
      </c>
      <c r="AC30" s="69" t="s">
        <v>26</v>
      </c>
      <c r="AD30" s="70" t="s">
        <v>27</v>
      </c>
      <c r="AE30" s="71" t="s">
        <v>28</v>
      </c>
      <c r="AF30" s="28" t="s">
        <v>47</v>
      </c>
      <c r="AG30" s="29" t="s">
        <v>78</v>
      </c>
      <c r="AH30" s="63" t="s">
        <v>76</v>
      </c>
      <c r="AI30" s="29" t="s">
        <v>32</v>
      </c>
    </row>
    <row r="31" spans="2:35" ht="15" customHeight="1" thickBot="1" x14ac:dyDescent="0.3">
      <c r="B31" s="181">
        <v>0</v>
      </c>
      <c r="C31" s="181"/>
      <c r="D31" s="2"/>
      <c r="E31" s="22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S31" s="80" t="s">
        <v>63</v>
      </c>
      <c r="T31" s="42">
        <v>0</v>
      </c>
      <c r="U31" s="91" t="s">
        <v>19</v>
      </c>
      <c r="V31" s="11" t="s">
        <v>19</v>
      </c>
      <c r="W31" s="17" t="s">
        <v>19</v>
      </c>
      <c r="X31" s="17" t="s">
        <v>24</v>
      </c>
      <c r="Y31" s="12" t="s">
        <v>24</v>
      </c>
      <c r="Z31" s="93" t="s">
        <v>42</v>
      </c>
      <c r="AA31" s="79" t="s">
        <v>42</v>
      </c>
      <c r="AB31" s="78" t="s">
        <v>42</v>
      </c>
      <c r="AC31" s="43"/>
      <c r="AD31" s="30"/>
      <c r="AE31" s="31"/>
      <c r="AF31" s="53"/>
      <c r="AG31" s="54"/>
      <c r="AH31" s="64" t="s">
        <v>29</v>
      </c>
      <c r="AI31" s="31" t="s">
        <v>29</v>
      </c>
    </row>
    <row r="32" spans="2:35" ht="15" customHeight="1" thickTop="1" thickBot="1" x14ac:dyDescent="0.3">
      <c r="B32" s="180" t="s">
        <v>52</v>
      </c>
      <c r="C32" s="180"/>
      <c r="D32" s="2"/>
      <c r="E32" s="22"/>
      <c r="F32" s="9"/>
      <c r="G32" s="9"/>
      <c r="H32" s="9"/>
      <c r="I32" s="9"/>
      <c r="J32" s="9"/>
      <c r="K32" s="9"/>
      <c r="L32" s="9"/>
      <c r="M32" s="9"/>
      <c r="N32" s="9"/>
      <c r="O32" s="9"/>
      <c r="P32" s="75"/>
      <c r="Q32" s="9"/>
      <c r="S32" s="100"/>
      <c r="T32" s="101">
        <v>0</v>
      </c>
      <c r="U32" s="41">
        <f>B5</f>
        <v>303</v>
      </c>
      <c r="V32" s="39">
        <f>B7</f>
        <v>305</v>
      </c>
      <c r="W32" s="39">
        <f>B35</f>
        <v>21</v>
      </c>
      <c r="X32" s="38">
        <f>B31</f>
        <v>0</v>
      </c>
      <c r="Y32" s="40">
        <f>B33</f>
        <v>360</v>
      </c>
      <c r="Z32" s="102"/>
      <c r="AA32" s="103"/>
      <c r="AB32" s="104"/>
      <c r="AC32" s="77">
        <f>B26</f>
        <v>255</v>
      </c>
      <c r="AD32" s="105">
        <f>B27</f>
        <v>255</v>
      </c>
      <c r="AE32" s="67">
        <f>B28</f>
        <v>0</v>
      </c>
      <c r="AF32" s="77">
        <f>B21</f>
        <v>13</v>
      </c>
      <c r="AG32" s="67">
        <f>B23</f>
        <v>0</v>
      </c>
      <c r="AH32" s="106" t="b">
        <v>0</v>
      </c>
      <c r="AI32" s="67" t="b">
        <v>1</v>
      </c>
    </row>
    <row r="33" spans="1:18" ht="15" customHeight="1" x14ac:dyDescent="0.25">
      <c r="B33" s="181">
        <v>360</v>
      </c>
      <c r="C33" s="181"/>
      <c r="D33" s="2"/>
      <c r="E33" s="22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1:18" ht="15" customHeight="1" thickBot="1" x14ac:dyDescent="0.3">
      <c r="B34" s="191" t="s">
        <v>53</v>
      </c>
      <c r="C34" s="191"/>
      <c r="E34" s="22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1:18" s="120" customFormat="1" ht="15" customHeight="1" thickBot="1" x14ac:dyDescent="0.25">
      <c r="A35" s="1"/>
      <c r="B35" s="189">
        <v>21</v>
      </c>
      <c r="C35" s="190"/>
      <c r="D35" s="1"/>
      <c r="E35" s="22"/>
      <c r="F35" s="9"/>
      <c r="G35" s="139" t="s">
        <v>97</v>
      </c>
      <c r="H35" s="113" t="s">
        <v>85</v>
      </c>
      <c r="I35" s="114"/>
      <c r="J35" s="114" t="s">
        <v>86</v>
      </c>
      <c r="K35" s="114"/>
      <c r="L35" s="115" t="s">
        <v>87</v>
      </c>
      <c r="M35" s="114"/>
      <c r="N35" s="114" t="s">
        <v>88</v>
      </c>
      <c r="O35" s="116"/>
      <c r="Q35" s="121"/>
      <c r="R35" s="122"/>
    </row>
    <row r="36" spans="1:18" s="123" customFormat="1" ht="15" customHeight="1" thickBot="1" x14ac:dyDescent="0.25">
      <c r="A36" s="1"/>
      <c r="B36" s="1"/>
      <c r="C36" s="1"/>
      <c r="D36" s="1"/>
      <c r="E36" s="22"/>
      <c r="F36" s="9"/>
      <c r="G36" s="140"/>
      <c r="H36" s="117" t="s">
        <v>89</v>
      </c>
      <c r="I36" s="118" t="s">
        <v>90</v>
      </c>
      <c r="J36" s="118" t="s">
        <v>91</v>
      </c>
      <c r="K36" s="118" t="s">
        <v>92</v>
      </c>
      <c r="L36" s="118" t="s">
        <v>93</v>
      </c>
      <c r="M36" s="118" t="s">
        <v>94</v>
      </c>
      <c r="N36" s="118" t="s">
        <v>95</v>
      </c>
      <c r="O36" s="119" t="s">
        <v>96</v>
      </c>
      <c r="R36" s="124"/>
    </row>
    <row r="37" spans="1:18" s="123" customFormat="1" ht="15" customHeight="1" thickTop="1" x14ac:dyDescent="0.2">
      <c r="A37" s="1"/>
      <c r="B37" s="1"/>
      <c r="C37" s="1"/>
      <c r="D37" s="1"/>
      <c r="E37" s="22"/>
      <c r="F37" s="9"/>
      <c r="G37" s="128">
        <v>0</v>
      </c>
      <c r="H37" s="129">
        <v>15.02</v>
      </c>
      <c r="I37" s="130">
        <v>15.06</v>
      </c>
      <c r="J37" s="131">
        <v>14.98</v>
      </c>
      <c r="K37" s="132">
        <v>15.01</v>
      </c>
      <c r="L37" s="132">
        <v>15</v>
      </c>
      <c r="M37" s="132">
        <v>15.03</v>
      </c>
      <c r="N37" s="132">
        <v>14.97</v>
      </c>
      <c r="O37" s="133">
        <v>14.99</v>
      </c>
      <c r="R37" s="124"/>
    </row>
    <row r="38" spans="1:18" s="125" customFormat="1" ht="15" customHeight="1" thickBot="1" x14ac:dyDescent="0.25">
      <c r="A38" s="1"/>
      <c r="B38" s="1"/>
      <c r="C38" s="1"/>
      <c r="D38" s="1"/>
      <c r="E38" s="22"/>
      <c r="F38" s="21"/>
      <c r="G38" s="134"/>
      <c r="H38" s="135"/>
      <c r="I38" s="136"/>
      <c r="J38" s="137"/>
      <c r="K38" s="136"/>
      <c r="L38" s="136"/>
      <c r="M38" s="136"/>
      <c r="N38" s="136"/>
      <c r="O38" s="138"/>
      <c r="Q38" s="126"/>
      <c r="R38" s="127"/>
    </row>
    <row r="39" spans="1:18" ht="15" customHeight="1" x14ac:dyDescent="0.25">
      <c r="E39" s="22"/>
      <c r="F39" s="9"/>
      <c r="Q39" s="9"/>
      <c r="R39" s="26"/>
    </row>
    <row r="40" spans="1:18" ht="15" customHeight="1" x14ac:dyDescent="0.25">
      <c r="E40" s="22"/>
      <c r="F40" s="9"/>
      <c r="Q40" s="9"/>
    </row>
    <row r="41" spans="1:18" ht="15" customHeight="1" x14ac:dyDescent="0.25">
      <c r="E41" s="22"/>
    </row>
    <row r="42" spans="1:18" ht="15" customHeight="1" x14ac:dyDescent="0.25"/>
    <row r="305" spans="25:35" x14ac:dyDescent="0.25">
      <c r="Y305" s="1">
        <v>2900</v>
      </c>
      <c r="AB305" s="1">
        <v>21</v>
      </c>
      <c r="AI305" s="1" t="b">
        <v>1</v>
      </c>
    </row>
  </sheetData>
  <sheetProtection sheet="1" objects="1" scenarios="1" selectLockedCells="1"/>
  <mergeCells count="51">
    <mergeCell ref="B1:C3"/>
    <mergeCell ref="B35:C35"/>
    <mergeCell ref="X21:Z21"/>
    <mergeCell ref="X23:Z23"/>
    <mergeCell ref="X25:Z25"/>
    <mergeCell ref="B30:C30"/>
    <mergeCell ref="B31:C31"/>
    <mergeCell ref="B32:C32"/>
    <mergeCell ref="B33:C33"/>
    <mergeCell ref="B34:C34"/>
    <mergeCell ref="B28:C28"/>
    <mergeCell ref="B23:C23"/>
    <mergeCell ref="B22:C22"/>
    <mergeCell ref="B4:C4"/>
    <mergeCell ref="B6:C6"/>
    <mergeCell ref="B7:C7"/>
    <mergeCell ref="B5:C5"/>
    <mergeCell ref="B10:C10"/>
    <mergeCell ref="B20:C20"/>
    <mergeCell ref="B11:C11"/>
    <mergeCell ref="B12:C12"/>
    <mergeCell ref="B9:D9"/>
    <mergeCell ref="B15:D15"/>
    <mergeCell ref="C14:D14"/>
    <mergeCell ref="B26:C26"/>
    <mergeCell ref="B27:C27"/>
    <mergeCell ref="U19:W19"/>
    <mergeCell ref="U21:W21"/>
    <mergeCell ref="U25:W25"/>
    <mergeCell ref="U23:W23"/>
    <mergeCell ref="B25:D25"/>
    <mergeCell ref="AC28:AI28"/>
    <mergeCell ref="AC29:AE29"/>
    <mergeCell ref="AF29:AG29"/>
    <mergeCell ref="S2:AB3"/>
    <mergeCell ref="S28:AB29"/>
    <mergeCell ref="AC3:AE3"/>
    <mergeCell ref="AF3:AG3"/>
    <mergeCell ref="X20:Z20"/>
    <mergeCell ref="X17:Z17"/>
    <mergeCell ref="U17:W17"/>
    <mergeCell ref="U18:W18"/>
    <mergeCell ref="X18:Z18"/>
    <mergeCell ref="X19:Z19"/>
    <mergeCell ref="AC2:AJ2"/>
    <mergeCell ref="AF17:AG17"/>
    <mergeCell ref="G35:G36"/>
    <mergeCell ref="G2:K2"/>
    <mergeCell ref="G3:K3"/>
    <mergeCell ref="L2:O2"/>
    <mergeCell ref="L3:O3"/>
  </mergeCells>
  <conditionalFormatting sqref="T5">
    <cfRule type="notContainsBlanks" dxfId="14" priority="87">
      <formula>LEN(TRIM(T5))&gt;0</formula>
    </cfRule>
  </conditionalFormatting>
  <conditionalFormatting sqref="T7">
    <cfRule type="expression" dxfId="13" priority="85">
      <formula>($AH$7 = FALSE)</formula>
    </cfRule>
  </conditionalFormatting>
  <conditionalFormatting sqref="T8:X8 Y7:Y15 AB7:AB9 Z9:AA9 Z10:AB15">
    <cfRule type="expression" dxfId="12" priority="84">
      <formula>($AH7 = FALSE)</formula>
    </cfRule>
  </conditionalFormatting>
  <conditionalFormatting sqref="T7">
    <cfRule type="expression" dxfId="11" priority="83">
      <formula>($AH7 = FALSE)</formula>
    </cfRule>
  </conditionalFormatting>
  <conditionalFormatting sqref="T6:AB6">
    <cfRule type="expression" dxfId="10" priority="82">
      <formula>($AH6 = FALSE)</formula>
    </cfRule>
  </conditionalFormatting>
  <conditionalFormatting sqref="T9:X15">
    <cfRule type="expression" dxfId="9" priority="81">
      <formula>($AH9 = FALSE)</formula>
    </cfRule>
  </conditionalFormatting>
  <conditionalFormatting sqref="Z7:AA7">
    <cfRule type="expression" dxfId="8" priority="66">
      <formula>($AH7 = FALSE)</formula>
    </cfRule>
  </conditionalFormatting>
  <conditionalFormatting sqref="Z8">
    <cfRule type="expression" dxfId="7" priority="61">
      <formula>($AH8 = FALSE)</formula>
    </cfRule>
  </conditionalFormatting>
  <conditionalFormatting sqref="AA8">
    <cfRule type="expression" dxfId="6" priority="60">
      <formula>($AH8 = FALSE)</formula>
    </cfRule>
  </conditionalFormatting>
  <conditionalFormatting sqref="U7:X7">
    <cfRule type="expression" dxfId="5" priority="59">
      <formula>($AH7 = FALSE)</formula>
    </cfRule>
  </conditionalFormatting>
  <conditionalFormatting sqref="T31">
    <cfRule type="notContainsBlanks" dxfId="4" priority="52">
      <formula>LEN(TRIM(T31))&gt;0</formula>
    </cfRule>
  </conditionalFormatting>
  <conditionalFormatting sqref="S8">
    <cfRule type="expression" dxfId="3" priority="23">
      <formula>($AH8 = FALSE)</formula>
    </cfRule>
  </conditionalFormatting>
  <conditionalFormatting sqref="S6">
    <cfRule type="expression" dxfId="2" priority="22">
      <formula>($AH6 = FALSE)</formula>
    </cfRule>
  </conditionalFormatting>
  <conditionalFormatting sqref="S9:S15">
    <cfRule type="expression" dxfId="1" priority="21">
      <formula>($AH9 = FALSE)</formula>
    </cfRule>
  </conditionalFormatting>
  <conditionalFormatting sqref="S7">
    <cfRule type="expression" dxfId="0" priority="20">
      <formula>($AH7 = FALSE)</formula>
    </cfRule>
  </conditionalFormatting>
  <pageMargins left="0.7" right="0.7" top="0.75" bottom="0.75" header="0.3" footer="0.3"/>
  <pageSetup paperSize="9" orientation="portrait" r:id="rId1"/>
  <ignoredErrors>
    <ignoredError sqref="Y10:Y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croll Bar 9">
              <controlPr defaultSize="0" autoPict="0" macro="[0]!Rotation_X">
                <anchor mov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2</xdr:col>
                    <xdr:colOff>504825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Scroll Bar 14">
              <controlPr defaultSize="0" autoPict="0" macro="[0]!Taille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504825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Scroll Bar 15">
              <controlPr defaultSize="0" autoPict="0" macro="[0]!Diametre">
                <anchor mov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504825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 macro="[0]!Couleur_Gaine">
                <anchor moveWithCells="1">
                  <from>
                    <xdr:col>1</xdr:col>
                    <xdr:colOff>19050</xdr:colOff>
                    <xdr:row>25</xdr:row>
                    <xdr:rowOff>19050</xdr:rowOff>
                  </from>
                  <to>
                    <xdr:col>2</xdr:col>
                    <xdr:colOff>504825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Scroll Bar 17">
              <controlPr defaultSize="0" autoPict="0" macro="[0]!Couleur_Gaine">
                <anchor moveWithCells="1">
                  <from>
                    <xdr:col>1</xdr:col>
                    <xdr:colOff>19050</xdr:colOff>
                    <xdr:row>26</xdr:row>
                    <xdr:rowOff>19050</xdr:rowOff>
                  </from>
                  <to>
                    <xdr:col>2</xdr:col>
                    <xdr:colOff>504825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Scroll Bar 18">
              <controlPr defaultSize="0" autoPict="0" macro="[0]!Couleur_Gaine">
                <anchor moveWithCells="1">
                  <from>
                    <xdr:col>1</xdr:col>
                    <xdr:colOff>19050</xdr:colOff>
                    <xdr:row>27</xdr:row>
                    <xdr:rowOff>19050</xdr:rowOff>
                  </from>
                  <to>
                    <xdr:col>2</xdr:col>
                    <xdr:colOff>504825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Scroll Bar 19">
              <controlPr defaultSize="0" autoPict="0" macro="[0]!Rotation_Y">
                <anchor moveWithCells="1">
                  <from>
                    <xdr:col>1</xdr:col>
                    <xdr:colOff>19050</xdr:colOff>
                    <xdr:row>10</xdr:row>
                    <xdr:rowOff>9525</xdr:rowOff>
                  </from>
                  <to>
                    <xdr:col>2</xdr:col>
                    <xdr:colOff>504825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Scroll Bar 20">
              <controlPr defaultSize="0" autoPict="0" macro="[0]!Rotation_Z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2</xdr:col>
                    <xdr:colOff>504825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2" name="Scroll Bar 29">
              <controlPr defaultSize="0" autoPict="0" macro="[0]!Luminosité_Direction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2</xdr:col>
                    <xdr:colOff>504825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Drop Down 31">
              <controlPr defaultSize="0" autoLine="0" autoPict="0" macro="[0]!Aspect_Gaine">
                <anchor moveWithCells="1">
                  <from>
                    <xdr:col>1</xdr:col>
                    <xdr:colOff>9525</xdr:colOff>
                    <xdr:row>20</xdr:row>
                    <xdr:rowOff>9525</xdr:rowOff>
                  </from>
                  <to>
                    <xdr:col>2</xdr:col>
                    <xdr:colOff>762000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4" name="Scroll Bar 33">
              <controlPr defaultSize="0" autoPict="0">
                <anchor moveWithCells="1">
                  <from>
                    <xdr:col>1</xdr:col>
                    <xdr:colOff>19050</xdr:colOff>
                    <xdr:row>15</xdr:row>
                    <xdr:rowOff>19050</xdr:rowOff>
                  </from>
                  <to>
                    <xdr:col>2</xdr:col>
                    <xdr:colOff>495300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2</xdr:col>
                    <xdr:colOff>676275</xdr:colOff>
                    <xdr:row>12</xdr:row>
                    <xdr:rowOff>171450</xdr:rowOff>
                  </from>
                  <to>
                    <xdr:col>4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Animation">
              <controlPr locked="0" defaultSize="0" autoFill="0" autoLine="0" autoPict="0" macro="[0]!Anim_Rotation">
                <anchor moveWithCells="1">
                  <from>
                    <xdr:col>1</xdr:col>
                    <xdr:colOff>561975</xdr:colOff>
                    <xdr:row>12</xdr:row>
                    <xdr:rowOff>171450</xdr:rowOff>
                  </from>
                  <to>
                    <xdr:col>2</xdr:col>
                    <xdr:colOff>95250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Button 38">
              <controlPr defaultSize="0" print="0" autoFill="0" autoPict="0" macro="[0]!Copier">
                <anchor moveWithCells="1" sizeWithCells="1">
                  <from>
                    <xdr:col>14</xdr:col>
                    <xdr:colOff>590550</xdr:colOff>
                    <xdr:row>3</xdr:row>
                    <xdr:rowOff>104775</xdr:rowOff>
                  </from>
                  <to>
                    <xdr:col>16</xdr:col>
                    <xdr:colOff>533400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8" name="Scroll Bar 49">
              <controlPr defaultSize="0" autoPict="0" macro="[0]!Couleur_Secteur">
                <anchor moveWithCells="1">
                  <from>
                    <xdr:col>23</xdr:col>
                    <xdr:colOff>19050</xdr:colOff>
                    <xdr:row>17</xdr:row>
                    <xdr:rowOff>19050</xdr:rowOff>
                  </from>
                  <to>
                    <xdr:col>25</xdr:col>
                    <xdr:colOff>247650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9" name="Scroll Bar 50">
              <controlPr defaultSize="0" autoPict="0" macro="[0]!Couleur_Secteur">
                <anchor moveWithCells="1">
                  <from>
                    <xdr:col>23</xdr:col>
                    <xdr:colOff>19050</xdr:colOff>
                    <xdr:row>18</xdr:row>
                    <xdr:rowOff>19050</xdr:rowOff>
                  </from>
                  <to>
                    <xdr:col>25</xdr:col>
                    <xdr:colOff>247650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0" name="Scroll Bar 51">
              <controlPr defaultSize="0" autoPict="0" macro="[0]!Couleur_Secteur">
                <anchor moveWithCells="1">
                  <from>
                    <xdr:col>23</xdr:col>
                    <xdr:colOff>19050</xdr:colOff>
                    <xdr:row>19</xdr:row>
                    <xdr:rowOff>19050</xdr:rowOff>
                  </from>
                  <to>
                    <xdr:col>25</xdr:col>
                    <xdr:colOff>247650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1" name="Scroll Bar 52">
              <controlPr defaultSize="0" autoPict="0" macro="[0]!DCote_Secteur">
                <anchor moveWithCells="1">
                  <from>
                    <xdr:col>20</xdr:col>
                    <xdr:colOff>9525</xdr:colOff>
                    <xdr:row>19</xdr:row>
                    <xdr:rowOff>9525</xdr:rowOff>
                  </from>
                  <to>
                    <xdr:col>22</xdr:col>
                    <xdr:colOff>133350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2" name="Drop Down 53">
              <controlPr defaultSize="0" autoLine="0" autoPict="0" macro="[0]!Aspect_Secteur">
                <anchor moveWithCells="1">
                  <from>
                    <xdr:col>20</xdr:col>
                    <xdr:colOff>19050</xdr:colOff>
                    <xdr:row>17</xdr:row>
                    <xdr:rowOff>9525</xdr:rowOff>
                  </from>
                  <to>
                    <xdr:col>22</xdr:col>
                    <xdr:colOff>495300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3" name="Scroll Bar 55">
              <controlPr defaultSize="0" autoPict="0" macro="[0]!Angle_Gaine_2">
                <anchor moveWithCells="1">
                  <from>
                    <xdr:col>1</xdr:col>
                    <xdr:colOff>19050</xdr:colOff>
                    <xdr:row>32</xdr:row>
                    <xdr:rowOff>9525</xdr:rowOff>
                  </from>
                  <to>
                    <xdr:col>2</xdr:col>
                    <xdr:colOff>504825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4" name="Scroll Bar 56">
              <controlPr defaultSize="0" autoPict="0" macro="[0]!Angle_Gaine_1">
                <anchor moveWithCells="1">
                  <from>
                    <xdr:col>1</xdr:col>
                    <xdr:colOff>9525</xdr:colOff>
                    <xdr:row>30</xdr:row>
                    <xdr:rowOff>9525</xdr:rowOff>
                  </from>
                  <to>
                    <xdr:col>2</xdr:col>
                    <xdr:colOff>504825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5" name="Check Box 57">
              <controlPr defaultSize="0" autoFill="0" autoLine="0" autoPict="0" macro="[0]!LDR">
                <anchor moveWithCells="1">
                  <from>
                    <xdr:col>18</xdr:col>
                    <xdr:colOff>114300</xdr:colOff>
                    <xdr:row>27</xdr:row>
                    <xdr:rowOff>114300</xdr:rowOff>
                  </from>
                  <to>
                    <xdr:col>19</xdr:col>
                    <xdr:colOff>209550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6" name="Scroll Bar 58">
              <controlPr defaultSize="0" autoPict="0" macro="[0]!Epaisseur_Gaine">
                <anchor moveWithCells="1">
                  <from>
                    <xdr:col>1</xdr:col>
                    <xdr:colOff>19050</xdr:colOff>
                    <xdr:row>34</xdr:row>
                    <xdr:rowOff>9525</xdr:rowOff>
                  </from>
                  <to>
                    <xdr:col>2</xdr:col>
                    <xdr:colOff>504825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7" name="Scroll Bar 59">
              <controlPr defaultSize="0" autoPict="0" macro="[0]!Profondeur_Secteur">
                <anchor moveWithCells="1">
                  <from>
                    <xdr:col>23</xdr:col>
                    <xdr:colOff>9525</xdr:colOff>
                    <xdr:row>21</xdr:row>
                    <xdr:rowOff>9525</xdr:rowOff>
                  </from>
                  <to>
                    <xdr:col>25</xdr:col>
                    <xdr:colOff>28575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8" name="Scroll Bar 60">
              <controlPr defaultSize="0" autoPict="0" macro="[0]!Angle_Secteur">
                <anchor moveWithCells="1">
                  <from>
                    <xdr:col>20</xdr:col>
                    <xdr:colOff>9525</xdr:colOff>
                    <xdr:row>25</xdr:row>
                    <xdr:rowOff>9525</xdr:rowOff>
                  </from>
                  <to>
                    <xdr:col>22</xdr:col>
                    <xdr:colOff>133350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9" name="Scroll Bar 61">
              <controlPr defaultSize="0" autoPict="0" macro="[0]!Angle_Secteur">
                <anchor moveWithCells="1">
                  <from>
                    <xdr:col>23</xdr:col>
                    <xdr:colOff>9525</xdr:colOff>
                    <xdr:row>23</xdr:row>
                    <xdr:rowOff>19050</xdr:rowOff>
                  </from>
                  <to>
                    <xdr:col>25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0" name="Scroll Bar 62">
              <controlPr defaultSize="0" autoPict="0" macro="[0]!Epaisseur_Secteur">
                <anchor moveWithCells="1">
                  <from>
                    <xdr:col>23</xdr:col>
                    <xdr:colOff>9525</xdr:colOff>
                    <xdr:row>25</xdr:row>
                    <xdr:rowOff>9525</xdr:rowOff>
                  </from>
                  <to>
                    <xdr:col>25</xdr:col>
                    <xdr:colOff>28575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1" name="Scroll Bar 63">
              <controlPr defaultSize="0" autoPict="0" macro="[0]!Dpe_Secteur">
                <anchor moveWithCells="1">
                  <from>
                    <xdr:col>20</xdr:col>
                    <xdr:colOff>9525</xdr:colOff>
                    <xdr:row>21</xdr:row>
                    <xdr:rowOff>9525</xdr:rowOff>
                  </from>
                  <to>
                    <xdr:col>22</xdr:col>
                    <xdr:colOff>133350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2" name="Scroll Bar 64">
              <controlPr defaultSize="0" autoPict="0" macro="[0]!Dpi_Secteur">
                <anchor moveWithCells="1">
                  <from>
                    <xdr:col>20</xdr:col>
                    <xdr:colOff>9525</xdr:colOff>
                    <xdr:row>23</xdr:row>
                    <xdr:rowOff>9525</xdr:rowOff>
                  </from>
                  <to>
                    <xdr:col>22</xdr:col>
                    <xdr:colOff>133350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3" name="Button 72">
              <controlPr defaultSize="0" print="0" autoFill="0" autoPict="0" macro="[0]!Ajout_Secteur">
                <anchor moveWithCells="1" sizeWithCells="1">
                  <from>
                    <xdr:col>18</xdr:col>
                    <xdr:colOff>238125</xdr:colOff>
                    <xdr:row>1</xdr:row>
                    <xdr:rowOff>114300</xdr:rowOff>
                  </from>
                  <to>
                    <xdr:col>20</xdr:col>
                    <xdr:colOff>95250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4" name="Button 73">
              <controlPr defaultSize="0" print="0" autoFill="0" autoPict="0" macro="[0]!Suppression_Secteur">
                <anchor moveWithCells="1" sizeWithCells="1">
                  <from>
                    <xdr:col>20</xdr:col>
                    <xdr:colOff>257175</xdr:colOff>
                    <xdr:row>1</xdr:row>
                    <xdr:rowOff>114300</xdr:rowOff>
                  </from>
                  <to>
                    <xdr:col>21</xdr:col>
                    <xdr:colOff>466725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5" name="Button 74">
              <controlPr defaultSize="0" print="0" autoFill="0" autoPict="0" macro="[0]!Retour_2D">
                <anchor moveWithCells="1" sizeWithCells="1">
                  <from>
                    <xdr:col>2</xdr:col>
                    <xdr:colOff>504825</xdr:colOff>
                    <xdr:row>8</xdr:row>
                    <xdr:rowOff>19050</xdr:rowOff>
                  </from>
                  <to>
                    <xdr:col>3</xdr:col>
                    <xdr:colOff>104775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6" name="Scroll Bar 75">
              <controlPr defaultSize="0" autoPict="0">
                <anchor mov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2</xdr:col>
                    <xdr:colOff>495300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7" name="Scroll Bar 76">
              <controlPr defaultSize="0" autoPict="0">
                <anchor moveWithCells="1">
                  <from>
                    <xdr:col>1</xdr:col>
                    <xdr:colOff>19050</xdr:colOff>
                    <xdr:row>17</xdr:row>
                    <xdr:rowOff>19050</xdr:rowOff>
                  </from>
                  <to>
                    <xdr:col>2</xdr:col>
                    <xdr:colOff>495300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38" name="Check Box 78">
              <controlPr defaultSize="0" autoFill="0" autoLine="0" autoPict="0" macro="[0]!Axes_angulaires">
                <anchor moveWithCells="1">
                  <from>
                    <xdr:col>1</xdr:col>
                    <xdr:colOff>295275</xdr:colOff>
                    <xdr:row>35</xdr:row>
                    <xdr:rowOff>142875</xdr:rowOff>
                  </from>
                  <to>
                    <xdr:col>2</xdr:col>
                    <xdr:colOff>476250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6"/>
  <sheetViews>
    <sheetView workbookViewId="0">
      <selection activeCell="F6" sqref="F6"/>
    </sheetView>
  </sheetViews>
  <sheetFormatPr baseColWidth="10" defaultRowHeight="15" x14ac:dyDescent="0.25"/>
  <cols>
    <col min="2" max="2" width="12.85546875" bestFit="1" customWidth="1"/>
  </cols>
  <sheetData>
    <row r="1" spans="1:2" x14ac:dyDescent="0.25">
      <c r="A1" s="111" t="s">
        <v>84</v>
      </c>
      <c r="B1" s="111" t="s">
        <v>0</v>
      </c>
    </row>
    <row r="2" spans="1:2" x14ac:dyDescent="0.25">
      <c r="A2" s="110" t="b">
        <v>1</v>
      </c>
      <c r="B2" s="6" t="s">
        <v>3</v>
      </c>
    </row>
    <row r="3" spans="1:2" x14ac:dyDescent="0.25">
      <c r="B3" s="5" t="s">
        <v>5</v>
      </c>
    </row>
    <row r="4" spans="1:2" x14ac:dyDescent="0.25">
      <c r="B4" s="4" t="s">
        <v>15</v>
      </c>
    </row>
    <row r="5" spans="1:2" x14ac:dyDescent="0.25">
      <c r="B5" s="5" t="s">
        <v>6</v>
      </c>
    </row>
    <row r="6" spans="1:2" x14ac:dyDescent="0.25">
      <c r="B6" s="5" t="s">
        <v>3</v>
      </c>
    </row>
    <row r="7" spans="1:2" x14ac:dyDescent="0.25">
      <c r="B7" s="5" t="s">
        <v>9</v>
      </c>
    </row>
    <row r="8" spans="1:2" x14ac:dyDescent="0.25">
      <c r="B8" s="5" t="s">
        <v>8</v>
      </c>
    </row>
    <row r="9" spans="1:2" x14ac:dyDescent="0.25">
      <c r="B9" s="4" t="s">
        <v>4</v>
      </c>
    </row>
    <row r="10" spans="1:2" x14ac:dyDescent="0.25">
      <c r="B10" s="5" t="s">
        <v>7</v>
      </c>
    </row>
    <row r="11" spans="1:2" x14ac:dyDescent="0.25">
      <c r="B11" s="5" t="s">
        <v>11</v>
      </c>
    </row>
    <row r="12" spans="1:2" x14ac:dyDescent="0.25">
      <c r="B12" s="5" t="s">
        <v>13</v>
      </c>
    </row>
    <row r="13" spans="1:2" x14ac:dyDescent="0.25">
      <c r="B13" s="5" t="s">
        <v>10</v>
      </c>
    </row>
    <row r="14" spans="1:2" x14ac:dyDescent="0.25">
      <c r="B14" s="5" t="s">
        <v>2</v>
      </c>
    </row>
    <row r="15" spans="1:2" x14ac:dyDescent="0.25">
      <c r="B15" s="5" t="s">
        <v>12</v>
      </c>
    </row>
    <row r="16" spans="1:2" x14ac:dyDescent="0.25">
      <c r="B16" s="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3D</vt:lpstr>
      <vt:lpstr>Divers</vt:lpstr>
      <vt:lpstr>Coordonnées</vt:lpstr>
      <vt:lpstr>Transparence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Plouf</dc:creator>
  <cp:lastModifiedBy>user</cp:lastModifiedBy>
  <cp:lastPrinted>2015-11-03T13:42:16Z</cp:lastPrinted>
  <dcterms:created xsi:type="dcterms:W3CDTF">2012-03-04T20:07:49Z</dcterms:created>
  <dcterms:modified xsi:type="dcterms:W3CDTF">2020-11-14T15:07:24Z</dcterms:modified>
</cp:coreProperties>
</file>